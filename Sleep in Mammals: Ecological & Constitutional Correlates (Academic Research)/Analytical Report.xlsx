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wnloads\Uche\Vaphla Uni\Tasks\Task 26\"/>
    </mc:Choice>
  </mc:AlternateContent>
  <xr:revisionPtr revIDLastSave="0" documentId="8_{B5421936-B84F-4F64-B30A-32BB36A09557}" xr6:coauthVersionLast="47" xr6:coauthVersionMax="47" xr10:uidLastSave="{00000000-0000-0000-0000-000000000000}"/>
  <bookViews>
    <workbookView xWindow="-108" yWindow="-108" windowWidth="23256" windowHeight="12456" xr2:uid="{5E6B602C-766A-492F-A67D-4D149B7FCAE1}"/>
  </bookViews>
  <sheets>
    <sheet name="Dashboard " sheetId="21" r:id="rId1"/>
    <sheet name="Post-analysis Observations" sheetId="18" r:id="rId2"/>
    <sheet name="Post-analysis Recommendations" sheetId="20" r:id="rId3"/>
    <sheet name="In-analysis Board" sheetId="17" r:id="rId4"/>
    <sheet name="Body Weight vs Brain Weight" sheetId="3" r:id="rId5"/>
    <sheet name="Body Weight vs Life Span" sheetId="11" r:id="rId6"/>
    <sheet name="Gestation Time vs Life Span" sheetId="13" r:id="rId7"/>
    <sheet name="Predation Index vs. Total Sleep" sheetId="14" r:id="rId8"/>
    <sheet name="Danger Index vs. Total Sleep" sheetId="15" r:id="rId9"/>
    <sheet name="Sleep Exposure vs. Sleep" sheetId="16" r:id="rId10"/>
    <sheet name="Pre-analysis Board" sheetId="2" r:id="rId11"/>
    <sheet name="dataset_2191_sleep" sheetId="1" r:id="rId12"/>
  </sheets>
  <definedNames>
    <definedName name="Slicer_danger_index">#N/A</definedName>
    <definedName name="Slicer_predation_index">#N/A</definedName>
    <definedName name="Slicer_sleep_exposure_index">#N/A</definedName>
  </definedNames>
  <calcPr calcId="191029"/>
  <pivotCaches>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 i="1" l="1"/>
  <c r="Q1" i="1"/>
  <c r="R1" i="1"/>
  <c r="N5" i="1"/>
  <c r="N4" i="1"/>
  <c r="N3" i="1"/>
  <c r="N2" i="1"/>
  <c r="N1" i="1"/>
  <c r="P1" i="1"/>
  <c r="P5" i="1" l="1"/>
  <c r="P4" i="1"/>
  <c r="P3" i="1"/>
  <c r="P2" i="1"/>
  <c r="O5" i="1"/>
  <c r="O4" i="1"/>
  <c r="O3" i="1"/>
  <c r="O2" i="1"/>
  <c r="O1" i="1"/>
  <c r="M1" i="1"/>
  <c r="K1" i="1"/>
  <c r="J1" i="1"/>
  <c r="J3" i="1"/>
  <c r="K3" i="1"/>
</calcChain>
</file>

<file path=xl/sharedStrings.xml><?xml version="1.0" encoding="utf-8"?>
<sst xmlns="http://schemas.openxmlformats.org/spreadsheetml/2006/main" count="38" uniqueCount="15">
  <si>
    <t>body_weight</t>
  </si>
  <si>
    <t>brain_weight</t>
  </si>
  <si>
    <t>max_life_span</t>
  </si>
  <si>
    <t>gestation_time</t>
  </si>
  <si>
    <t>predation_index</t>
  </si>
  <si>
    <t>sleep_exposure_index</t>
  </si>
  <si>
    <t>danger_index</t>
  </si>
  <si>
    <t>total_sleep</t>
  </si>
  <si>
    <t>?</t>
  </si>
  <si>
    <t>Row Labels</t>
  </si>
  <si>
    <t>Grand Total</t>
  </si>
  <si>
    <t>Max of brain_weight</t>
  </si>
  <si>
    <t>Max of max_life_span</t>
  </si>
  <si>
    <t>Sum of total_sleep</t>
  </si>
  <si>
    <t>Max of gestation_time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</si>
</sst>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AC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8"/>
        <color rgb="FFE2AC00"/>
      </font>
      <border diagonalUp="0" diagonalDown="0">
        <left/>
        <right/>
        <top/>
        <bottom/>
        <vertical/>
        <horizontal/>
      </border>
    </dxf>
    <dxf>
      <font>
        <sz val="14"/>
        <color rgb="FFE2AC00"/>
      </font>
      <fill>
        <patternFill patternType="solid">
          <bgColor rgb="FF001400"/>
        </patternFill>
      </fill>
      <border diagonalUp="0" diagonalDown="0">
        <left/>
        <right/>
        <top/>
        <bottom/>
        <vertical/>
        <horizontal/>
      </border>
    </dxf>
  </dxfs>
  <tableStyles count="1" defaultTableStyle="TableStyleMedium2" defaultPivotStyle="PivotStyleLight16">
    <tableStyle name="SlicerStyleDark6 2" pivot="0" table="0" count="10" xr9:uid="{92569A10-9331-497A-9F8F-956F5632ED7A}">
      <tableStyleElement type="wholeTable" dxfId="1"/>
      <tableStyleElement type="headerRow" dxfId="0"/>
    </tableStyle>
  </tableStyles>
  <colors>
    <mruColors>
      <color rgb="FFE2AC00"/>
      <color rgb="FFF2B800"/>
      <color rgb="FF001400"/>
      <color rgb="FFFFC301"/>
      <color rgb="FFD09E00"/>
      <color rgb="FF00C400"/>
      <color rgb="FF6C5200"/>
      <color rgb="FFCC9B00"/>
      <color rgb="FF8E6C00"/>
      <color rgb="FF967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20"/>
            <color rgb="FF001400"/>
            <name val="Calibri"/>
            <family val="2"/>
            <scheme val="minor"/>
          </font>
          <fill>
            <patternFill patternType="solid">
              <fgColor theme="9"/>
              <bgColor rgb="FFE2AC0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Report.xlsx]Body Weight vs Brain Weight!PivotTable1</c:name>
    <c:fmtId val="31"/>
  </c:pivotSource>
  <c:chart>
    <c:title>
      <c:tx>
        <c:rich>
          <a:bodyPr rot="0" spcFirstLastPara="1" vertOverflow="ellipsis" vert="horz" wrap="square" anchor="ctr" anchorCtr="1"/>
          <a:lstStyle/>
          <a:p>
            <a:pPr>
              <a:defRPr sz="3200" b="0" i="0" u="none" strike="noStrike" kern="1200" spc="0" baseline="0">
                <a:solidFill>
                  <a:srgbClr val="E2AC00"/>
                </a:solidFill>
                <a:latin typeface="+mn-lt"/>
                <a:ea typeface="+mn-ea"/>
                <a:cs typeface="+mn-cs"/>
              </a:defRPr>
            </a:pPr>
            <a:r>
              <a:rPr lang="en-US" sz="3200" b="1">
                <a:solidFill>
                  <a:srgbClr val="E2AC00"/>
                </a:solidFill>
                <a:latin typeface="Bodoni MT" panose="02070603080606020203" pitchFamily="18" charset="0"/>
              </a:rPr>
              <a:t>Body</a:t>
            </a:r>
            <a:r>
              <a:rPr lang="en-US" sz="3200" b="1" baseline="0">
                <a:solidFill>
                  <a:srgbClr val="E2AC00"/>
                </a:solidFill>
                <a:latin typeface="Bodoni MT" panose="02070603080606020203" pitchFamily="18" charset="0"/>
              </a:rPr>
              <a:t> Weight vs. Brain Weight Analysis</a:t>
            </a:r>
            <a:endParaRPr lang="en-US" sz="3200"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32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2AC00"/>
          </a:solidFill>
          <a:ln>
            <a:noFill/>
          </a:ln>
          <a:effectLst/>
        </c:spPr>
      </c:pivotFmt>
      <c:pivotFmt>
        <c:idx val="2"/>
        <c:spPr>
          <a:solidFill>
            <a:srgbClr val="D2A000"/>
          </a:solidFill>
          <a:ln>
            <a:noFill/>
          </a:ln>
          <a:effectLst/>
        </c:spPr>
      </c:pivotFmt>
      <c:pivotFmt>
        <c:idx val="3"/>
        <c:spPr>
          <a:solidFill>
            <a:srgbClr val="BC8F00"/>
          </a:solidFill>
          <a:ln>
            <a:noFill/>
          </a:ln>
          <a:effectLst/>
        </c:spPr>
      </c:pivotFmt>
      <c:pivotFmt>
        <c:idx val="4"/>
        <c:spPr>
          <a:solidFill>
            <a:srgbClr val="B08600"/>
          </a:solidFill>
          <a:ln>
            <a:noFill/>
          </a:ln>
          <a:effectLst/>
        </c:spPr>
      </c:pivotFmt>
      <c:pivotFmt>
        <c:idx val="5"/>
        <c:spPr>
          <a:solidFill>
            <a:srgbClr val="A27B00"/>
          </a:solidFill>
          <a:ln>
            <a:noFill/>
          </a:ln>
          <a:effectLst/>
        </c:spPr>
      </c:pivotFmt>
      <c:pivotFmt>
        <c:idx val="6"/>
        <c:spPr>
          <a:solidFill>
            <a:srgbClr val="9E7800"/>
          </a:solidFill>
          <a:ln>
            <a:noFill/>
          </a:ln>
          <a:effectLst/>
        </c:spPr>
      </c:pivotFmt>
      <c:pivotFmt>
        <c:idx val="7"/>
        <c:spPr>
          <a:solidFill>
            <a:srgbClr val="8E6C00"/>
          </a:solidFill>
          <a:ln>
            <a:noFill/>
          </a:ln>
          <a:effectLst/>
        </c:spPr>
      </c:pivotFmt>
      <c:pivotFmt>
        <c:idx val="8"/>
        <c:spPr>
          <a:solidFill>
            <a:srgbClr val="826300"/>
          </a:solidFill>
          <a:ln>
            <a:noFill/>
          </a:ln>
          <a:effectLst/>
        </c:spPr>
      </c:pivotFmt>
      <c:pivotFmt>
        <c:idx val="9"/>
        <c:spPr>
          <a:solidFill>
            <a:srgbClr val="6C5200"/>
          </a:solidFill>
          <a:ln>
            <a:noFill/>
          </a:ln>
          <a:effectLst/>
        </c:spPr>
      </c:pivotFmt>
      <c:pivotFmt>
        <c:idx val="10"/>
        <c:spPr>
          <a:solidFill>
            <a:srgbClr val="745800"/>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C5200"/>
          </a:solidFill>
          <a:ln>
            <a:noFill/>
          </a:ln>
          <a:effectLst/>
        </c:spPr>
      </c:pivotFmt>
      <c:pivotFmt>
        <c:idx val="13"/>
        <c:spPr>
          <a:solidFill>
            <a:srgbClr val="745800"/>
          </a:solidFill>
          <a:ln>
            <a:noFill/>
          </a:ln>
          <a:effectLst/>
        </c:spPr>
      </c:pivotFmt>
      <c:pivotFmt>
        <c:idx val="14"/>
        <c:spPr>
          <a:solidFill>
            <a:srgbClr val="826300"/>
          </a:solidFill>
          <a:ln>
            <a:noFill/>
          </a:ln>
          <a:effectLst/>
        </c:spPr>
      </c:pivotFmt>
      <c:pivotFmt>
        <c:idx val="15"/>
        <c:spPr>
          <a:solidFill>
            <a:srgbClr val="8E6C00"/>
          </a:solidFill>
          <a:ln>
            <a:noFill/>
          </a:ln>
          <a:effectLst/>
        </c:spPr>
      </c:pivotFmt>
      <c:pivotFmt>
        <c:idx val="16"/>
        <c:spPr>
          <a:solidFill>
            <a:srgbClr val="9E7800"/>
          </a:solidFill>
          <a:ln>
            <a:noFill/>
          </a:ln>
          <a:effectLst/>
        </c:spPr>
      </c:pivotFmt>
      <c:pivotFmt>
        <c:idx val="17"/>
        <c:spPr>
          <a:solidFill>
            <a:srgbClr val="A27B00"/>
          </a:solidFill>
          <a:ln>
            <a:noFill/>
          </a:ln>
          <a:effectLst/>
        </c:spPr>
      </c:pivotFmt>
      <c:pivotFmt>
        <c:idx val="18"/>
        <c:spPr>
          <a:solidFill>
            <a:srgbClr val="B08600"/>
          </a:solidFill>
          <a:ln>
            <a:noFill/>
          </a:ln>
          <a:effectLst/>
        </c:spPr>
      </c:pivotFmt>
      <c:pivotFmt>
        <c:idx val="19"/>
        <c:spPr>
          <a:solidFill>
            <a:srgbClr val="BC8F00"/>
          </a:solidFill>
          <a:ln>
            <a:noFill/>
          </a:ln>
          <a:effectLst/>
        </c:spPr>
      </c:pivotFmt>
      <c:pivotFmt>
        <c:idx val="20"/>
        <c:spPr>
          <a:solidFill>
            <a:srgbClr val="D2A000"/>
          </a:solidFill>
          <a:ln>
            <a:noFill/>
          </a:ln>
          <a:effectLst/>
        </c:spPr>
      </c:pivotFmt>
      <c:pivotFmt>
        <c:idx val="21"/>
        <c:spPr>
          <a:solidFill>
            <a:srgbClr val="E2AC00"/>
          </a:solidFill>
          <a:ln>
            <a:noFill/>
          </a:ln>
          <a:effectLst/>
        </c:spPr>
      </c:pivotFmt>
      <c:pivotFmt>
        <c:idx val="22"/>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6C5200"/>
          </a:solidFill>
          <a:ln>
            <a:noFill/>
          </a:ln>
          <a:effectLst/>
        </c:spPr>
      </c:pivotFmt>
      <c:pivotFmt>
        <c:idx val="24"/>
        <c:spPr>
          <a:solidFill>
            <a:srgbClr val="745800"/>
          </a:solidFill>
          <a:ln>
            <a:noFill/>
          </a:ln>
          <a:effectLst/>
        </c:spPr>
      </c:pivotFmt>
      <c:pivotFmt>
        <c:idx val="25"/>
        <c:spPr>
          <a:solidFill>
            <a:srgbClr val="826300"/>
          </a:solidFill>
          <a:ln>
            <a:noFill/>
          </a:ln>
          <a:effectLst/>
        </c:spPr>
      </c:pivotFmt>
      <c:pivotFmt>
        <c:idx val="26"/>
        <c:spPr>
          <a:solidFill>
            <a:srgbClr val="8E6C00"/>
          </a:solidFill>
          <a:ln>
            <a:noFill/>
          </a:ln>
          <a:effectLst/>
        </c:spPr>
      </c:pivotFmt>
      <c:pivotFmt>
        <c:idx val="27"/>
        <c:spPr>
          <a:solidFill>
            <a:srgbClr val="9E7800"/>
          </a:solidFill>
          <a:ln>
            <a:noFill/>
          </a:ln>
          <a:effectLst/>
        </c:spPr>
      </c:pivotFmt>
      <c:pivotFmt>
        <c:idx val="28"/>
        <c:spPr>
          <a:solidFill>
            <a:srgbClr val="A27B00"/>
          </a:solidFill>
          <a:ln>
            <a:noFill/>
          </a:ln>
          <a:effectLst/>
        </c:spPr>
      </c:pivotFmt>
      <c:pivotFmt>
        <c:idx val="29"/>
        <c:spPr>
          <a:solidFill>
            <a:srgbClr val="B08600"/>
          </a:solidFill>
          <a:ln>
            <a:noFill/>
          </a:ln>
          <a:effectLst/>
        </c:spPr>
      </c:pivotFmt>
      <c:pivotFmt>
        <c:idx val="30"/>
        <c:spPr>
          <a:solidFill>
            <a:srgbClr val="BC8F00"/>
          </a:solidFill>
          <a:ln>
            <a:noFill/>
          </a:ln>
          <a:effectLst/>
        </c:spPr>
      </c:pivotFmt>
      <c:pivotFmt>
        <c:idx val="31"/>
        <c:spPr>
          <a:solidFill>
            <a:srgbClr val="D2A000"/>
          </a:solidFill>
          <a:ln>
            <a:noFill/>
          </a:ln>
          <a:effectLst/>
        </c:spPr>
      </c:pivotFmt>
      <c:pivotFmt>
        <c:idx val="32"/>
        <c:spPr>
          <a:solidFill>
            <a:srgbClr val="E2AC00"/>
          </a:solidFill>
          <a:ln>
            <a:noFill/>
          </a:ln>
          <a:effectLst/>
        </c:spPr>
      </c:pivotFmt>
      <c:pivotFmt>
        <c:idx val="33"/>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C5200"/>
          </a:solidFill>
          <a:ln>
            <a:noFill/>
          </a:ln>
          <a:effectLst/>
        </c:spPr>
      </c:pivotFmt>
      <c:pivotFmt>
        <c:idx val="35"/>
        <c:spPr>
          <a:solidFill>
            <a:srgbClr val="745800"/>
          </a:solidFill>
          <a:ln>
            <a:noFill/>
          </a:ln>
          <a:effectLst/>
        </c:spPr>
      </c:pivotFmt>
      <c:pivotFmt>
        <c:idx val="36"/>
        <c:spPr>
          <a:solidFill>
            <a:srgbClr val="826300"/>
          </a:solidFill>
          <a:ln>
            <a:noFill/>
          </a:ln>
          <a:effectLst/>
        </c:spPr>
      </c:pivotFmt>
      <c:pivotFmt>
        <c:idx val="37"/>
        <c:spPr>
          <a:solidFill>
            <a:srgbClr val="8E6C00"/>
          </a:solidFill>
          <a:ln>
            <a:noFill/>
          </a:ln>
          <a:effectLst/>
        </c:spPr>
      </c:pivotFmt>
      <c:pivotFmt>
        <c:idx val="38"/>
        <c:spPr>
          <a:solidFill>
            <a:srgbClr val="9E7800"/>
          </a:solidFill>
          <a:ln>
            <a:noFill/>
          </a:ln>
          <a:effectLst/>
        </c:spPr>
      </c:pivotFmt>
      <c:pivotFmt>
        <c:idx val="39"/>
        <c:spPr>
          <a:solidFill>
            <a:srgbClr val="A27B00"/>
          </a:solidFill>
          <a:ln>
            <a:noFill/>
          </a:ln>
          <a:effectLst/>
        </c:spPr>
      </c:pivotFmt>
      <c:pivotFmt>
        <c:idx val="40"/>
        <c:spPr>
          <a:solidFill>
            <a:srgbClr val="B08600"/>
          </a:solidFill>
          <a:ln>
            <a:noFill/>
          </a:ln>
          <a:effectLst/>
        </c:spPr>
      </c:pivotFmt>
      <c:pivotFmt>
        <c:idx val="41"/>
        <c:spPr>
          <a:solidFill>
            <a:srgbClr val="BC8F00"/>
          </a:solidFill>
          <a:ln>
            <a:noFill/>
          </a:ln>
          <a:effectLst/>
        </c:spPr>
      </c:pivotFmt>
      <c:pivotFmt>
        <c:idx val="42"/>
        <c:spPr>
          <a:solidFill>
            <a:srgbClr val="D2A000"/>
          </a:solidFill>
          <a:ln>
            <a:noFill/>
          </a:ln>
          <a:effectLst/>
        </c:spPr>
      </c:pivotFmt>
      <c:pivotFmt>
        <c:idx val="43"/>
        <c:spPr>
          <a:solidFill>
            <a:srgbClr val="E2AC00"/>
          </a:solidFill>
          <a:ln>
            <a:noFill/>
          </a:ln>
          <a:effectLst/>
        </c:spPr>
      </c:pivotFmt>
      <c:pivotFmt>
        <c:idx val="44"/>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6C5200"/>
          </a:solidFill>
          <a:ln>
            <a:noFill/>
          </a:ln>
          <a:effectLst/>
        </c:spPr>
      </c:pivotFmt>
      <c:pivotFmt>
        <c:idx val="46"/>
        <c:spPr>
          <a:solidFill>
            <a:srgbClr val="745800"/>
          </a:solidFill>
          <a:ln>
            <a:noFill/>
          </a:ln>
          <a:effectLst/>
        </c:spPr>
      </c:pivotFmt>
      <c:pivotFmt>
        <c:idx val="47"/>
        <c:spPr>
          <a:solidFill>
            <a:srgbClr val="826300"/>
          </a:solidFill>
          <a:ln>
            <a:noFill/>
          </a:ln>
          <a:effectLst/>
        </c:spPr>
      </c:pivotFmt>
      <c:pivotFmt>
        <c:idx val="48"/>
        <c:spPr>
          <a:solidFill>
            <a:srgbClr val="8E6C00"/>
          </a:solidFill>
          <a:ln>
            <a:noFill/>
          </a:ln>
          <a:effectLst/>
        </c:spPr>
      </c:pivotFmt>
      <c:pivotFmt>
        <c:idx val="49"/>
        <c:spPr>
          <a:solidFill>
            <a:srgbClr val="9E7800"/>
          </a:solidFill>
          <a:ln>
            <a:noFill/>
          </a:ln>
          <a:effectLst/>
        </c:spPr>
      </c:pivotFmt>
      <c:pivotFmt>
        <c:idx val="50"/>
        <c:spPr>
          <a:solidFill>
            <a:srgbClr val="A27B00"/>
          </a:solidFill>
          <a:ln>
            <a:noFill/>
          </a:ln>
          <a:effectLst/>
        </c:spPr>
      </c:pivotFmt>
      <c:pivotFmt>
        <c:idx val="51"/>
        <c:spPr>
          <a:solidFill>
            <a:srgbClr val="B08600"/>
          </a:solidFill>
          <a:ln>
            <a:noFill/>
          </a:ln>
          <a:effectLst/>
        </c:spPr>
      </c:pivotFmt>
      <c:pivotFmt>
        <c:idx val="52"/>
        <c:spPr>
          <a:solidFill>
            <a:srgbClr val="BC8F00"/>
          </a:solidFill>
          <a:ln>
            <a:noFill/>
          </a:ln>
          <a:effectLst/>
        </c:spPr>
      </c:pivotFmt>
      <c:pivotFmt>
        <c:idx val="53"/>
        <c:spPr>
          <a:solidFill>
            <a:srgbClr val="D2A000"/>
          </a:solidFill>
          <a:ln>
            <a:noFill/>
          </a:ln>
          <a:effectLst/>
        </c:spPr>
      </c:pivotFmt>
      <c:pivotFmt>
        <c:idx val="54"/>
        <c:spPr>
          <a:solidFill>
            <a:srgbClr val="E2AC00"/>
          </a:solidFill>
          <a:ln>
            <a:noFill/>
          </a:ln>
          <a:effectLst/>
        </c:spPr>
      </c:pivotFmt>
    </c:pivotFmts>
    <c:plotArea>
      <c:layout>
        <c:manualLayout>
          <c:layoutTarget val="inner"/>
          <c:xMode val="edge"/>
          <c:yMode val="edge"/>
          <c:x val="0.12944457024245534"/>
          <c:y val="0.18068869019262457"/>
          <c:w val="0.7964106697531671"/>
          <c:h val="0.7587750808386905"/>
        </c:manualLayout>
      </c:layout>
      <c:barChart>
        <c:barDir val="bar"/>
        <c:grouping val="clustered"/>
        <c:varyColors val="0"/>
        <c:ser>
          <c:idx val="0"/>
          <c:order val="0"/>
          <c:tx>
            <c:strRef>
              <c:f>'Body Weight vs Brain Weight'!$B$3</c:f>
              <c:strCache>
                <c:ptCount val="1"/>
                <c:pt idx="0">
                  <c:v>Total</c:v>
                </c:pt>
              </c:strCache>
            </c:strRef>
          </c:tx>
          <c:spPr>
            <a:solidFill>
              <a:srgbClr val="253917"/>
            </a:solidFill>
            <a:ln>
              <a:noFill/>
            </a:ln>
            <a:effectLst/>
          </c:spPr>
          <c:invertIfNegative val="0"/>
          <c:dPt>
            <c:idx val="0"/>
            <c:invertIfNegative val="0"/>
            <c:bubble3D val="0"/>
            <c:spPr>
              <a:solidFill>
                <a:srgbClr val="6C5200"/>
              </a:solidFill>
              <a:ln>
                <a:noFill/>
              </a:ln>
              <a:effectLst/>
            </c:spPr>
            <c:extLst>
              <c:ext xmlns:c16="http://schemas.microsoft.com/office/drawing/2014/chart" uri="{C3380CC4-5D6E-409C-BE32-E72D297353CC}">
                <c16:uniqueId val="{00000001-B0B7-4AD3-B647-89444F54F54B}"/>
              </c:ext>
            </c:extLst>
          </c:dPt>
          <c:dPt>
            <c:idx val="1"/>
            <c:invertIfNegative val="0"/>
            <c:bubble3D val="0"/>
            <c:spPr>
              <a:solidFill>
                <a:srgbClr val="745800"/>
              </a:solidFill>
              <a:ln>
                <a:noFill/>
              </a:ln>
              <a:effectLst/>
            </c:spPr>
            <c:extLst>
              <c:ext xmlns:c16="http://schemas.microsoft.com/office/drawing/2014/chart" uri="{C3380CC4-5D6E-409C-BE32-E72D297353CC}">
                <c16:uniqueId val="{00000003-B0B7-4AD3-B647-89444F54F54B}"/>
              </c:ext>
            </c:extLst>
          </c:dPt>
          <c:dPt>
            <c:idx val="2"/>
            <c:invertIfNegative val="0"/>
            <c:bubble3D val="0"/>
            <c:spPr>
              <a:solidFill>
                <a:srgbClr val="826300"/>
              </a:solidFill>
              <a:ln>
                <a:noFill/>
              </a:ln>
              <a:effectLst/>
            </c:spPr>
            <c:extLst>
              <c:ext xmlns:c16="http://schemas.microsoft.com/office/drawing/2014/chart" uri="{C3380CC4-5D6E-409C-BE32-E72D297353CC}">
                <c16:uniqueId val="{00000005-B0B7-4AD3-B647-89444F54F54B}"/>
              </c:ext>
            </c:extLst>
          </c:dPt>
          <c:dPt>
            <c:idx val="3"/>
            <c:invertIfNegative val="0"/>
            <c:bubble3D val="0"/>
            <c:spPr>
              <a:solidFill>
                <a:srgbClr val="8E6C00"/>
              </a:solidFill>
              <a:ln>
                <a:noFill/>
              </a:ln>
              <a:effectLst/>
            </c:spPr>
            <c:extLst>
              <c:ext xmlns:c16="http://schemas.microsoft.com/office/drawing/2014/chart" uri="{C3380CC4-5D6E-409C-BE32-E72D297353CC}">
                <c16:uniqueId val="{00000007-B0B7-4AD3-B647-89444F54F54B}"/>
              </c:ext>
            </c:extLst>
          </c:dPt>
          <c:dPt>
            <c:idx val="4"/>
            <c:invertIfNegative val="0"/>
            <c:bubble3D val="0"/>
            <c:spPr>
              <a:solidFill>
                <a:srgbClr val="9E7800"/>
              </a:solidFill>
              <a:ln>
                <a:noFill/>
              </a:ln>
              <a:effectLst/>
            </c:spPr>
            <c:extLst>
              <c:ext xmlns:c16="http://schemas.microsoft.com/office/drawing/2014/chart" uri="{C3380CC4-5D6E-409C-BE32-E72D297353CC}">
                <c16:uniqueId val="{00000009-B0B7-4AD3-B647-89444F54F54B}"/>
              </c:ext>
            </c:extLst>
          </c:dPt>
          <c:dPt>
            <c:idx val="5"/>
            <c:invertIfNegative val="0"/>
            <c:bubble3D val="0"/>
            <c:spPr>
              <a:solidFill>
                <a:srgbClr val="A27B00"/>
              </a:solidFill>
              <a:ln>
                <a:noFill/>
              </a:ln>
              <a:effectLst/>
            </c:spPr>
            <c:extLst>
              <c:ext xmlns:c16="http://schemas.microsoft.com/office/drawing/2014/chart" uri="{C3380CC4-5D6E-409C-BE32-E72D297353CC}">
                <c16:uniqueId val="{0000000B-B0B7-4AD3-B647-89444F54F54B}"/>
              </c:ext>
            </c:extLst>
          </c:dPt>
          <c:dPt>
            <c:idx val="6"/>
            <c:invertIfNegative val="0"/>
            <c:bubble3D val="0"/>
            <c:spPr>
              <a:solidFill>
                <a:srgbClr val="B08600"/>
              </a:solidFill>
              <a:ln>
                <a:noFill/>
              </a:ln>
              <a:effectLst/>
            </c:spPr>
            <c:extLst>
              <c:ext xmlns:c16="http://schemas.microsoft.com/office/drawing/2014/chart" uri="{C3380CC4-5D6E-409C-BE32-E72D297353CC}">
                <c16:uniqueId val="{0000000D-B0B7-4AD3-B647-89444F54F54B}"/>
              </c:ext>
            </c:extLst>
          </c:dPt>
          <c:dPt>
            <c:idx val="7"/>
            <c:invertIfNegative val="0"/>
            <c:bubble3D val="0"/>
            <c:spPr>
              <a:solidFill>
                <a:srgbClr val="BC8F00"/>
              </a:solidFill>
              <a:ln>
                <a:noFill/>
              </a:ln>
              <a:effectLst/>
            </c:spPr>
            <c:extLst>
              <c:ext xmlns:c16="http://schemas.microsoft.com/office/drawing/2014/chart" uri="{C3380CC4-5D6E-409C-BE32-E72D297353CC}">
                <c16:uniqueId val="{0000000F-B0B7-4AD3-B647-89444F54F54B}"/>
              </c:ext>
            </c:extLst>
          </c:dPt>
          <c:dPt>
            <c:idx val="8"/>
            <c:invertIfNegative val="0"/>
            <c:bubble3D val="0"/>
            <c:spPr>
              <a:solidFill>
                <a:srgbClr val="D2A000"/>
              </a:solidFill>
              <a:ln>
                <a:noFill/>
              </a:ln>
              <a:effectLst/>
            </c:spPr>
            <c:extLst>
              <c:ext xmlns:c16="http://schemas.microsoft.com/office/drawing/2014/chart" uri="{C3380CC4-5D6E-409C-BE32-E72D297353CC}">
                <c16:uniqueId val="{00000011-B0B7-4AD3-B647-89444F54F54B}"/>
              </c:ext>
            </c:extLst>
          </c:dPt>
          <c:dPt>
            <c:idx val="9"/>
            <c:invertIfNegative val="0"/>
            <c:bubble3D val="0"/>
            <c:spPr>
              <a:solidFill>
                <a:srgbClr val="E2AC00"/>
              </a:solidFill>
              <a:ln>
                <a:noFill/>
              </a:ln>
              <a:effectLst/>
            </c:spPr>
            <c:extLst>
              <c:ext xmlns:c16="http://schemas.microsoft.com/office/drawing/2014/chart" uri="{C3380CC4-5D6E-409C-BE32-E72D297353CC}">
                <c16:uniqueId val="{00000013-B0B7-4AD3-B647-89444F54F54B}"/>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 Weight vs Brain Weight'!$A$4:$A$14</c:f>
              <c:strCache>
                <c:ptCount val="10"/>
                <c:pt idx="0">
                  <c:v>207</c:v>
                </c:pt>
                <c:pt idx="1">
                  <c:v>187.1</c:v>
                </c:pt>
                <c:pt idx="2">
                  <c:v>465</c:v>
                </c:pt>
                <c:pt idx="3">
                  <c:v>52.16</c:v>
                </c:pt>
                <c:pt idx="4">
                  <c:v>250</c:v>
                </c:pt>
                <c:pt idx="5">
                  <c:v>521</c:v>
                </c:pt>
                <c:pt idx="6">
                  <c:v>529</c:v>
                </c:pt>
                <c:pt idx="7">
                  <c:v>62</c:v>
                </c:pt>
                <c:pt idx="8">
                  <c:v>2547</c:v>
                </c:pt>
                <c:pt idx="9">
                  <c:v>6654</c:v>
                </c:pt>
              </c:strCache>
            </c:strRef>
          </c:cat>
          <c:val>
            <c:numRef>
              <c:f>'Body Weight vs Brain Weight'!$B$4:$B$14</c:f>
              <c:numCache>
                <c:formatCode>General</c:formatCode>
                <c:ptCount val="10"/>
                <c:pt idx="0">
                  <c:v>406</c:v>
                </c:pt>
                <c:pt idx="1">
                  <c:v>419</c:v>
                </c:pt>
                <c:pt idx="2">
                  <c:v>423</c:v>
                </c:pt>
                <c:pt idx="3">
                  <c:v>440</c:v>
                </c:pt>
                <c:pt idx="4">
                  <c:v>490</c:v>
                </c:pt>
                <c:pt idx="5">
                  <c:v>655</c:v>
                </c:pt>
                <c:pt idx="6">
                  <c:v>680</c:v>
                </c:pt>
                <c:pt idx="7">
                  <c:v>1320</c:v>
                </c:pt>
                <c:pt idx="8">
                  <c:v>4603</c:v>
                </c:pt>
                <c:pt idx="9">
                  <c:v>5712</c:v>
                </c:pt>
              </c:numCache>
            </c:numRef>
          </c:val>
          <c:extLst>
            <c:ext xmlns:c16="http://schemas.microsoft.com/office/drawing/2014/chart" uri="{C3380CC4-5D6E-409C-BE32-E72D297353CC}">
              <c16:uniqueId val="{00000014-B0B7-4AD3-B647-89444F54F54B}"/>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l"/>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24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b"/>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400"/>
    </a:solidFill>
    <a:ln w="9525" cap="flat" cmpd="sng" algn="ctr">
      <a:solidFill>
        <a:srgbClr val="E2A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Report.xlsx]Danger Index vs. Total Sleep!PivotTable1</c:name>
    <c:fmtId val="33"/>
  </c:pivotSource>
  <c:chart>
    <c:autoTitleDeleted val="1"/>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16240E"/>
          </a:solidFill>
          <a:ln>
            <a:noFill/>
          </a:ln>
          <a:effectLst/>
        </c:spPr>
      </c:pivotFmt>
      <c:pivotFmt>
        <c:idx val="48"/>
        <c:spPr>
          <a:solidFill>
            <a:srgbClr val="253917"/>
          </a:solidFill>
          <a:ln>
            <a:noFill/>
          </a:ln>
          <a:effectLst/>
        </c:spPr>
      </c:pivotFmt>
      <c:pivotFmt>
        <c:idx val="49"/>
        <c:spPr>
          <a:solidFill>
            <a:srgbClr val="3C5D25"/>
          </a:solidFill>
          <a:ln>
            <a:noFill/>
          </a:ln>
          <a:effectLst/>
        </c:spPr>
      </c:pivotFmt>
      <c:pivotFmt>
        <c:idx val="50"/>
        <c:spPr>
          <a:solidFill>
            <a:srgbClr val="4F7A32"/>
          </a:solidFill>
          <a:ln>
            <a:noFill/>
          </a:ln>
          <a:effectLst/>
        </c:spPr>
      </c:pivotFmt>
      <c:pivotFmt>
        <c:idx val="51"/>
        <c:spPr>
          <a:solidFill>
            <a:srgbClr val="6AA442"/>
          </a:solidFill>
          <a:ln>
            <a:noFill/>
          </a:ln>
          <a:effectLst/>
        </c:spPr>
      </c:pivotFmt>
      <c:pivotFmt>
        <c:idx val="52"/>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16240E"/>
          </a:solidFill>
          <a:ln>
            <a:noFill/>
          </a:ln>
          <a:effectLst/>
        </c:spPr>
      </c:pivotFmt>
      <c:pivotFmt>
        <c:idx val="54"/>
        <c:spPr>
          <a:solidFill>
            <a:srgbClr val="253917"/>
          </a:solidFill>
          <a:ln>
            <a:noFill/>
          </a:ln>
          <a:effectLst/>
        </c:spPr>
      </c:pivotFmt>
      <c:pivotFmt>
        <c:idx val="55"/>
        <c:spPr>
          <a:solidFill>
            <a:srgbClr val="3C5D25"/>
          </a:solidFill>
          <a:ln>
            <a:noFill/>
          </a:ln>
          <a:effectLst/>
        </c:spPr>
      </c:pivotFmt>
      <c:pivotFmt>
        <c:idx val="56"/>
        <c:spPr>
          <a:solidFill>
            <a:srgbClr val="4F7A32"/>
          </a:solidFill>
          <a:ln>
            <a:noFill/>
          </a:ln>
          <a:effectLst/>
        </c:spPr>
      </c:pivotFmt>
      <c:pivotFmt>
        <c:idx val="57"/>
        <c:spPr>
          <a:solidFill>
            <a:srgbClr val="6AA442"/>
          </a:solidFill>
          <a:ln>
            <a:noFill/>
          </a:ln>
          <a:effectLst/>
        </c:spPr>
      </c:pivotFmt>
      <c:pivotFmt>
        <c:idx val="58"/>
        <c:spPr>
          <a:solidFill>
            <a:srgbClr val="E2AC00"/>
          </a:solidFill>
          <a:ln>
            <a:noFill/>
          </a:ln>
          <a:effectLst/>
        </c:spPr>
      </c:pivotFmt>
      <c:pivotFmt>
        <c:idx val="59"/>
        <c:spPr>
          <a:solidFill>
            <a:srgbClr val="B88C00"/>
          </a:solidFill>
          <a:ln>
            <a:noFill/>
          </a:ln>
          <a:effectLst/>
        </c:spPr>
      </c:pivotFmt>
      <c:pivotFmt>
        <c:idx val="60"/>
        <c:spPr>
          <a:solidFill>
            <a:srgbClr val="967200"/>
          </a:solidFill>
          <a:ln>
            <a:noFill/>
          </a:ln>
          <a:effectLst/>
        </c:spPr>
      </c:pivotFmt>
      <c:pivotFmt>
        <c:idx val="61"/>
        <c:spPr>
          <a:solidFill>
            <a:srgbClr val="8E6C00"/>
          </a:solidFill>
          <a:ln>
            <a:noFill/>
          </a:ln>
          <a:effectLst/>
        </c:spPr>
      </c:pivotFmt>
      <c:pivotFmt>
        <c:idx val="62"/>
        <c:spPr>
          <a:solidFill>
            <a:srgbClr val="6C5200"/>
          </a:solidFill>
          <a:ln>
            <a:noFill/>
          </a:ln>
          <a:effectLst/>
        </c:spPr>
      </c:pivotFmt>
      <c:pivotFmt>
        <c:idx val="63"/>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B88C00"/>
          </a:solidFill>
          <a:ln>
            <a:noFill/>
          </a:ln>
          <a:effectLst/>
        </c:spPr>
      </c:pivotFmt>
      <c:pivotFmt>
        <c:idx val="65"/>
        <c:spPr>
          <a:solidFill>
            <a:srgbClr val="967200"/>
          </a:solidFill>
          <a:ln>
            <a:noFill/>
          </a:ln>
          <a:effectLst/>
        </c:spPr>
      </c:pivotFmt>
      <c:pivotFmt>
        <c:idx val="66"/>
        <c:spPr>
          <a:solidFill>
            <a:srgbClr val="8E6C00"/>
          </a:solidFill>
          <a:ln>
            <a:noFill/>
          </a:ln>
          <a:effectLst/>
        </c:spPr>
      </c:pivotFmt>
      <c:pivotFmt>
        <c:idx val="67"/>
        <c:spPr>
          <a:solidFill>
            <a:srgbClr val="6C5200"/>
          </a:solidFill>
          <a:ln>
            <a:noFill/>
          </a:ln>
          <a:effectLst/>
        </c:spPr>
      </c:pivotFmt>
      <c:pivotFmt>
        <c:idx val="68"/>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B88C00"/>
          </a:solidFill>
          <a:ln>
            <a:noFill/>
          </a:ln>
          <a:effectLst/>
        </c:spPr>
      </c:pivotFmt>
      <c:pivotFmt>
        <c:idx val="70"/>
        <c:spPr>
          <a:solidFill>
            <a:srgbClr val="967200"/>
          </a:solidFill>
          <a:ln>
            <a:noFill/>
          </a:ln>
          <a:effectLst/>
        </c:spPr>
      </c:pivotFmt>
      <c:pivotFmt>
        <c:idx val="71"/>
        <c:spPr>
          <a:solidFill>
            <a:srgbClr val="8E6C00"/>
          </a:solidFill>
          <a:ln>
            <a:noFill/>
          </a:ln>
          <a:effectLst/>
        </c:spPr>
      </c:pivotFmt>
      <c:pivotFmt>
        <c:idx val="72"/>
        <c:spPr>
          <a:solidFill>
            <a:srgbClr val="6C5200"/>
          </a:solidFill>
          <a:ln>
            <a:noFill/>
          </a:ln>
          <a:effectLst/>
        </c:spPr>
      </c:pivotFmt>
      <c:pivotFmt>
        <c:idx val="73"/>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B88C00"/>
          </a:solidFill>
          <a:ln>
            <a:noFill/>
          </a:ln>
          <a:effectLst/>
        </c:spPr>
      </c:pivotFmt>
      <c:pivotFmt>
        <c:idx val="75"/>
        <c:spPr>
          <a:solidFill>
            <a:srgbClr val="967200"/>
          </a:solidFill>
          <a:ln>
            <a:noFill/>
          </a:ln>
          <a:effectLst/>
        </c:spPr>
      </c:pivotFmt>
      <c:pivotFmt>
        <c:idx val="76"/>
        <c:spPr>
          <a:solidFill>
            <a:srgbClr val="8E6C00"/>
          </a:solidFill>
          <a:ln>
            <a:noFill/>
          </a:ln>
          <a:effectLst/>
        </c:spPr>
      </c:pivotFmt>
      <c:pivotFmt>
        <c:idx val="77"/>
        <c:spPr>
          <a:solidFill>
            <a:srgbClr val="6C5200"/>
          </a:solidFill>
          <a:ln>
            <a:noFill/>
          </a:ln>
          <a:effectLst/>
        </c:spPr>
      </c:pivotFmt>
      <c:pivotFmt>
        <c:idx val="78"/>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B88C00"/>
          </a:solidFill>
          <a:ln>
            <a:noFill/>
          </a:ln>
          <a:effectLst/>
        </c:spPr>
      </c:pivotFmt>
      <c:pivotFmt>
        <c:idx val="80"/>
        <c:spPr>
          <a:solidFill>
            <a:srgbClr val="967200"/>
          </a:solidFill>
          <a:ln>
            <a:noFill/>
          </a:ln>
          <a:effectLst/>
        </c:spPr>
      </c:pivotFmt>
      <c:pivotFmt>
        <c:idx val="81"/>
        <c:spPr>
          <a:solidFill>
            <a:srgbClr val="8E6C00"/>
          </a:solidFill>
          <a:ln>
            <a:noFill/>
          </a:ln>
          <a:effectLst/>
        </c:spPr>
      </c:pivotFmt>
      <c:pivotFmt>
        <c:idx val="82"/>
        <c:spPr>
          <a:solidFill>
            <a:srgbClr val="6C5200"/>
          </a:solidFill>
          <a:ln>
            <a:noFill/>
          </a:ln>
          <a:effectLst/>
        </c:spPr>
      </c:pivotFmt>
    </c:pivotFmts>
    <c:plotArea>
      <c:layout>
        <c:manualLayout>
          <c:layoutTarget val="inner"/>
          <c:xMode val="edge"/>
          <c:yMode val="edge"/>
          <c:x val="2.0285384532424483E-2"/>
          <c:y val="0.37896329734027545"/>
          <c:w val="0.96072381153718001"/>
          <c:h val="0.49827653953679241"/>
        </c:manualLayout>
      </c:layout>
      <c:barChart>
        <c:barDir val="col"/>
        <c:grouping val="clustered"/>
        <c:varyColors val="0"/>
        <c:ser>
          <c:idx val="0"/>
          <c:order val="0"/>
          <c:tx>
            <c:strRef>
              <c:f>'Danger Index vs. Total Sleep'!$B$3</c:f>
              <c:strCache>
                <c:ptCount val="1"/>
                <c:pt idx="0">
                  <c:v>Total</c:v>
                </c:pt>
              </c:strCache>
            </c:strRef>
          </c:tx>
          <c:spPr>
            <a:solidFill>
              <a:srgbClr val="E2AC00"/>
            </a:solidFill>
            <a:ln>
              <a:noFill/>
            </a:ln>
            <a:effectLst/>
          </c:spPr>
          <c:invertIfNegative val="0"/>
          <c:dPt>
            <c:idx val="0"/>
            <c:invertIfNegative val="0"/>
            <c:bubble3D val="0"/>
            <c:extLst>
              <c:ext xmlns:c16="http://schemas.microsoft.com/office/drawing/2014/chart" uri="{C3380CC4-5D6E-409C-BE32-E72D297353CC}">
                <c16:uniqueId val="{00000000-17D6-4469-9236-55184781E9E6}"/>
              </c:ext>
            </c:extLst>
          </c:dPt>
          <c:dPt>
            <c:idx val="1"/>
            <c:invertIfNegative val="0"/>
            <c:bubble3D val="0"/>
            <c:spPr>
              <a:solidFill>
                <a:srgbClr val="B88C00"/>
              </a:solidFill>
              <a:ln>
                <a:noFill/>
              </a:ln>
              <a:effectLst/>
            </c:spPr>
            <c:extLst>
              <c:ext xmlns:c16="http://schemas.microsoft.com/office/drawing/2014/chart" uri="{C3380CC4-5D6E-409C-BE32-E72D297353CC}">
                <c16:uniqueId val="{00000002-17D6-4469-9236-55184781E9E6}"/>
              </c:ext>
            </c:extLst>
          </c:dPt>
          <c:dPt>
            <c:idx val="2"/>
            <c:invertIfNegative val="0"/>
            <c:bubble3D val="0"/>
            <c:spPr>
              <a:solidFill>
                <a:srgbClr val="967200"/>
              </a:solidFill>
              <a:ln>
                <a:noFill/>
              </a:ln>
              <a:effectLst/>
            </c:spPr>
            <c:extLst>
              <c:ext xmlns:c16="http://schemas.microsoft.com/office/drawing/2014/chart" uri="{C3380CC4-5D6E-409C-BE32-E72D297353CC}">
                <c16:uniqueId val="{00000004-17D6-4469-9236-55184781E9E6}"/>
              </c:ext>
            </c:extLst>
          </c:dPt>
          <c:dPt>
            <c:idx val="3"/>
            <c:invertIfNegative val="0"/>
            <c:bubble3D val="0"/>
            <c:spPr>
              <a:solidFill>
                <a:srgbClr val="8E6C00"/>
              </a:solidFill>
              <a:ln>
                <a:noFill/>
              </a:ln>
              <a:effectLst/>
            </c:spPr>
            <c:extLst>
              <c:ext xmlns:c16="http://schemas.microsoft.com/office/drawing/2014/chart" uri="{C3380CC4-5D6E-409C-BE32-E72D297353CC}">
                <c16:uniqueId val="{00000006-17D6-4469-9236-55184781E9E6}"/>
              </c:ext>
            </c:extLst>
          </c:dPt>
          <c:dPt>
            <c:idx val="4"/>
            <c:invertIfNegative val="0"/>
            <c:bubble3D val="0"/>
            <c:spPr>
              <a:solidFill>
                <a:srgbClr val="6C5200"/>
              </a:solidFill>
              <a:ln>
                <a:noFill/>
              </a:ln>
              <a:effectLst/>
            </c:spPr>
            <c:extLst>
              <c:ext xmlns:c16="http://schemas.microsoft.com/office/drawing/2014/chart" uri="{C3380CC4-5D6E-409C-BE32-E72D297353CC}">
                <c16:uniqueId val="{00000008-17D6-4469-9236-55184781E9E6}"/>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'Danger Index vs. Total Sleep'!$A$4:$A$9</c:f>
              <c:strCache>
                <c:ptCount val="5"/>
                <c:pt idx="0">
                  <c:v>1</c:v>
                </c:pt>
                <c:pt idx="1">
                  <c:v>2</c:v>
                </c:pt>
                <c:pt idx="2">
                  <c:v>3</c:v>
                </c:pt>
                <c:pt idx="3">
                  <c:v>4</c:v>
                </c:pt>
                <c:pt idx="4">
                  <c:v>5</c:v>
                </c:pt>
              </c:strCache>
            </c:strRef>
          </c:cat>
          <c:val>
            <c:numRef>
              <c:f>'Danger Index vs. Total Sleep'!$B$4:$B$9</c:f>
              <c:numCache>
                <c:formatCode>General</c:formatCode>
                <c:ptCount val="5"/>
                <c:pt idx="0">
                  <c:v>235.50000000000003</c:v>
                </c:pt>
                <c:pt idx="1">
                  <c:v>164.5</c:v>
                </c:pt>
                <c:pt idx="2">
                  <c:v>103.10000000000002</c:v>
                </c:pt>
                <c:pt idx="3">
                  <c:v>79.300000000000011</c:v>
                </c:pt>
                <c:pt idx="4">
                  <c:v>28.500000000000004</c:v>
                </c:pt>
              </c:numCache>
            </c:numRef>
          </c:val>
          <c:extLst>
            <c:ext xmlns:c16="http://schemas.microsoft.com/office/drawing/2014/chart" uri="{C3380CC4-5D6E-409C-BE32-E72D297353CC}">
              <c16:uniqueId val="{00000009-17D6-4469-9236-55184781E9E6}"/>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b"/>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24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l"/>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400"/>
    </a:solidFill>
    <a:ln w="9525" cap="flat" cmpd="sng" algn="ctr">
      <a:solidFill>
        <a:srgbClr val="E2A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Report.xlsx]Body Weight vs Life Span!PivotTable1</c:name>
    <c:fmtId val="16"/>
  </c:pivotSource>
  <c:chart>
    <c:title>
      <c:tx>
        <c:rich>
          <a:bodyPr rot="0" spcFirstLastPara="1" vertOverflow="ellipsis" vert="horz" wrap="square" anchor="ctr" anchorCtr="1"/>
          <a:lstStyle/>
          <a:p>
            <a:pPr>
              <a:defRPr sz="3200" b="0" i="0" u="none" strike="noStrike" kern="1200" spc="0" baseline="0">
                <a:solidFill>
                  <a:srgbClr val="E2AC00"/>
                </a:solidFill>
                <a:latin typeface="+mn-lt"/>
                <a:ea typeface="+mn-ea"/>
                <a:cs typeface="+mn-cs"/>
              </a:defRPr>
            </a:pPr>
            <a:r>
              <a:rPr lang="en-US" sz="3200" b="1">
                <a:solidFill>
                  <a:srgbClr val="E2AC00"/>
                </a:solidFill>
                <a:latin typeface="Bodoni MT" panose="02070603080606020203" pitchFamily="18" charset="0"/>
              </a:rPr>
              <a:t>Body</a:t>
            </a:r>
            <a:r>
              <a:rPr lang="en-US" sz="3200" b="1" baseline="0">
                <a:solidFill>
                  <a:srgbClr val="E2AC00"/>
                </a:solidFill>
                <a:latin typeface="Bodoni MT" panose="02070603080606020203" pitchFamily="18" charset="0"/>
              </a:rPr>
              <a:t> Weight vs. Life Span Analysis</a:t>
            </a:r>
            <a:endParaRPr lang="en-US" sz="3200"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32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2AC00"/>
          </a:solidFill>
          <a:ln>
            <a:noFill/>
          </a:ln>
          <a:effectLst/>
        </c:spPr>
      </c:pivotFmt>
      <c:pivotFmt>
        <c:idx val="24"/>
        <c:spPr>
          <a:solidFill>
            <a:srgbClr val="BC8F00"/>
          </a:solidFill>
          <a:ln>
            <a:noFill/>
          </a:ln>
          <a:effectLst/>
        </c:spPr>
      </c:pivotFmt>
      <c:pivotFmt>
        <c:idx val="25"/>
        <c:spPr>
          <a:solidFill>
            <a:srgbClr val="B08600"/>
          </a:solidFill>
          <a:ln>
            <a:noFill/>
          </a:ln>
          <a:effectLst/>
        </c:spPr>
      </c:pivotFmt>
      <c:pivotFmt>
        <c:idx val="26"/>
        <c:spPr>
          <a:solidFill>
            <a:srgbClr val="A27B00"/>
          </a:solidFill>
          <a:ln>
            <a:noFill/>
          </a:ln>
          <a:effectLst/>
        </c:spPr>
      </c:pivotFmt>
      <c:pivotFmt>
        <c:idx val="27"/>
        <c:spPr>
          <a:solidFill>
            <a:srgbClr val="A47D00"/>
          </a:solidFill>
          <a:ln>
            <a:noFill/>
          </a:ln>
          <a:effectLst/>
        </c:spPr>
      </c:pivotFmt>
      <c:pivotFmt>
        <c:idx val="28"/>
        <c:spPr>
          <a:solidFill>
            <a:srgbClr val="9E7800"/>
          </a:solidFill>
          <a:ln>
            <a:noFill/>
          </a:ln>
          <a:effectLst/>
        </c:spPr>
      </c:pivotFmt>
      <c:pivotFmt>
        <c:idx val="29"/>
        <c:spPr>
          <a:solidFill>
            <a:srgbClr val="8E6C00"/>
          </a:solidFill>
          <a:ln>
            <a:noFill/>
          </a:ln>
          <a:effectLst/>
        </c:spPr>
      </c:pivotFmt>
      <c:pivotFmt>
        <c:idx val="30"/>
        <c:spPr>
          <a:solidFill>
            <a:srgbClr val="826300"/>
          </a:solidFill>
          <a:ln>
            <a:noFill/>
          </a:ln>
          <a:effectLst/>
        </c:spPr>
      </c:pivotFmt>
      <c:pivotFmt>
        <c:idx val="31"/>
        <c:spPr>
          <a:solidFill>
            <a:srgbClr val="745800"/>
          </a:solidFill>
          <a:ln>
            <a:noFill/>
          </a:ln>
          <a:effectLst/>
        </c:spPr>
      </c:pivotFmt>
      <c:pivotFmt>
        <c:idx val="32"/>
        <c:spPr>
          <a:solidFill>
            <a:srgbClr val="6C52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C5200"/>
          </a:solidFill>
          <a:ln>
            <a:noFill/>
          </a:ln>
          <a:effectLst/>
        </c:spPr>
      </c:pivotFmt>
      <c:pivotFmt>
        <c:idx val="35"/>
        <c:spPr>
          <a:solidFill>
            <a:srgbClr val="745800"/>
          </a:solidFill>
          <a:ln>
            <a:noFill/>
          </a:ln>
          <a:effectLst/>
        </c:spPr>
      </c:pivotFmt>
      <c:pivotFmt>
        <c:idx val="36"/>
        <c:spPr>
          <a:solidFill>
            <a:srgbClr val="826300"/>
          </a:solidFill>
          <a:ln>
            <a:noFill/>
          </a:ln>
          <a:effectLst/>
        </c:spPr>
      </c:pivotFmt>
      <c:pivotFmt>
        <c:idx val="37"/>
        <c:spPr>
          <a:solidFill>
            <a:srgbClr val="8E6C00"/>
          </a:solidFill>
          <a:ln>
            <a:noFill/>
          </a:ln>
          <a:effectLst/>
        </c:spPr>
      </c:pivotFmt>
      <c:pivotFmt>
        <c:idx val="38"/>
        <c:spPr>
          <a:solidFill>
            <a:srgbClr val="9E7800"/>
          </a:solidFill>
          <a:ln>
            <a:noFill/>
          </a:ln>
          <a:effectLst/>
        </c:spPr>
      </c:pivotFmt>
      <c:pivotFmt>
        <c:idx val="39"/>
        <c:spPr>
          <a:solidFill>
            <a:srgbClr val="A47D00"/>
          </a:solidFill>
          <a:ln>
            <a:noFill/>
          </a:ln>
          <a:effectLst/>
        </c:spPr>
      </c:pivotFmt>
      <c:pivotFmt>
        <c:idx val="40"/>
        <c:spPr>
          <a:solidFill>
            <a:srgbClr val="A27B00"/>
          </a:solidFill>
          <a:ln>
            <a:noFill/>
          </a:ln>
          <a:effectLst/>
        </c:spPr>
      </c:pivotFmt>
      <c:pivotFmt>
        <c:idx val="41"/>
        <c:spPr>
          <a:solidFill>
            <a:srgbClr val="B08600"/>
          </a:solidFill>
          <a:ln>
            <a:noFill/>
          </a:ln>
          <a:effectLst/>
        </c:spPr>
      </c:pivotFmt>
      <c:pivotFmt>
        <c:idx val="42"/>
        <c:spPr>
          <a:solidFill>
            <a:srgbClr val="BC8F00"/>
          </a:solidFill>
          <a:ln>
            <a:noFill/>
          </a:ln>
          <a:effectLst/>
        </c:spPr>
      </c:pivotFmt>
      <c:pivotFmt>
        <c:idx val="43"/>
        <c:spPr>
          <a:solidFill>
            <a:srgbClr val="E2AC00"/>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6C5200"/>
          </a:solidFill>
          <a:ln>
            <a:noFill/>
          </a:ln>
          <a:effectLst/>
        </c:spPr>
      </c:pivotFmt>
      <c:pivotFmt>
        <c:idx val="46"/>
        <c:spPr>
          <a:solidFill>
            <a:srgbClr val="745800"/>
          </a:solidFill>
          <a:ln>
            <a:noFill/>
          </a:ln>
          <a:effectLst/>
        </c:spPr>
      </c:pivotFmt>
      <c:pivotFmt>
        <c:idx val="47"/>
        <c:spPr>
          <a:solidFill>
            <a:srgbClr val="826300"/>
          </a:solidFill>
          <a:ln>
            <a:noFill/>
          </a:ln>
          <a:effectLst/>
        </c:spPr>
      </c:pivotFmt>
      <c:pivotFmt>
        <c:idx val="48"/>
        <c:spPr>
          <a:solidFill>
            <a:srgbClr val="8E6C00"/>
          </a:solidFill>
          <a:ln>
            <a:noFill/>
          </a:ln>
          <a:effectLst/>
        </c:spPr>
      </c:pivotFmt>
      <c:pivotFmt>
        <c:idx val="49"/>
        <c:spPr>
          <a:solidFill>
            <a:srgbClr val="9E7800"/>
          </a:solidFill>
          <a:ln>
            <a:noFill/>
          </a:ln>
          <a:effectLst/>
        </c:spPr>
      </c:pivotFmt>
      <c:pivotFmt>
        <c:idx val="50"/>
        <c:spPr>
          <a:solidFill>
            <a:srgbClr val="A47D00"/>
          </a:solidFill>
          <a:ln>
            <a:noFill/>
          </a:ln>
          <a:effectLst/>
        </c:spPr>
      </c:pivotFmt>
      <c:pivotFmt>
        <c:idx val="51"/>
        <c:spPr>
          <a:solidFill>
            <a:srgbClr val="A27B00"/>
          </a:solidFill>
          <a:ln>
            <a:noFill/>
          </a:ln>
          <a:effectLst/>
        </c:spPr>
      </c:pivotFmt>
      <c:pivotFmt>
        <c:idx val="52"/>
        <c:spPr>
          <a:solidFill>
            <a:srgbClr val="B08600"/>
          </a:solidFill>
          <a:ln>
            <a:noFill/>
          </a:ln>
          <a:effectLst/>
        </c:spPr>
      </c:pivotFmt>
      <c:pivotFmt>
        <c:idx val="53"/>
        <c:spPr>
          <a:solidFill>
            <a:srgbClr val="BC8F00"/>
          </a:solidFill>
          <a:ln>
            <a:noFill/>
          </a:ln>
          <a:effectLst/>
        </c:spPr>
      </c:pivotFmt>
      <c:pivotFmt>
        <c:idx val="54"/>
        <c:spPr>
          <a:solidFill>
            <a:srgbClr val="E2AC00"/>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C5200"/>
          </a:solidFill>
          <a:ln>
            <a:noFill/>
          </a:ln>
          <a:effectLst/>
        </c:spPr>
      </c:pivotFmt>
      <c:pivotFmt>
        <c:idx val="57"/>
        <c:spPr>
          <a:solidFill>
            <a:srgbClr val="745800"/>
          </a:solidFill>
          <a:ln>
            <a:noFill/>
          </a:ln>
          <a:effectLst/>
        </c:spPr>
      </c:pivotFmt>
      <c:pivotFmt>
        <c:idx val="58"/>
        <c:spPr>
          <a:solidFill>
            <a:srgbClr val="826300"/>
          </a:solidFill>
          <a:ln>
            <a:noFill/>
          </a:ln>
          <a:effectLst/>
        </c:spPr>
      </c:pivotFmt>
      <c:pivotFmt>
        <c:idx val="59"/>
        <c:spPr>
          <a:solidFill>
            <a:srgbClr val="8E6C00"/>
          </a:solidFill>
          <a:ln>
            <a:noFill/>
          </a:ln>
          <a:effectLst/>
        </c:spPr>
      </c:pivotFmt>
      <c:pivotFmt>
        <c:idx val="60"/>
        <c:spPr>
          <a:solidFill>
            <a:srgbClr val="9E7800"/>
          </a:solidFill>
          <a:ln>
            <a:noFill/>
          </a:ln>
          <a:effectLst/>
        </c:spPr>
      </c:pivotFmt>
      <c:pivotFmt>
        <c:idx val="61"/>
        <c:spPr>
          <a:solidFill>
            <a:srgbClr val="A47D00"/>
          </a:solidFill>
          <a:ln>
            <a:noFill/>
          </a:ln>
          <a:effectLst/>
        </c:spPr>
      </c:pivotFmt>
      <c:pivotFmt>
        <c:idx val="62"/>
        <c:spPr>
          <a:solidFill>
            <a:srgbClr val="A27B00"/>
          </a:solidFill>
          <a:ln>
            <a:noFill/>
          </a:ln>
          <a:effectLst/>
        </c:spPr>
      </c:pivotFmt>
      <c:pivotFmt>
        <c:idx val="63"/>
        <c:spPr>
          <a:solidFill>
            <a:srgbClr val="B08600"/>
          </a:solidFill>
          <a:ln>
            <a:noFill/>
          </a:ln>
          <a:effectLst/>
        </c:spPr>
      </c:pivotFmt>
      <c:pivotFmt>
        <c:idx val="64"/>
        <c:spPr>
          <a:solidFill>
            <a:srgbClr val="BC8F00"/>
          </a:solidFill>
          <a:ln>
            <a:noFill/>
          </a:ln>
          <a:effectLst/>
        </c:spPr>
      </c:pivotFmt>
      <c:pivotFmt>
        <c:idx val="65"/>
        <c:spPr>
          <a:solidFill>
            <a:srgbClr val="E2AC00"/>
          </a:solidFill>
          <a:ln>
            <a:noFill/>
          </a:ln>
          <a:effectLst/>
        </c:spPr>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6C5200"/>
          </a:solidFill>
          <a:ln>
            <a:noFill/>
          </a:ln>
          <a:effectLst/>
        </c:spPr>
      </c:pivotFmt>
      <c:pivotFmt>
        <c:idx val="68"/>
        <c:spPr>
          <a:solidFill>
            <a:srgbClr val="745800"/>
          </a:solidFill>
          <a:ln>
            <a:noFill/>
          </a:ln>
          <a:effectLst/>
        </c:spPr>
      </c:pivotFmt>
      <c:pivotFmt>
        <c:idx val="69"/>
        <c:spPr>
          <a:solidFill>
            <a:srgbClr val="826300"/>
          </a:solidFill>
          <a:ln>
            <a:noFill/>
          </a:ln>
          <a:effectLst/>
        </c:spPr>
      </c:pivotFmt>
      <c:pivotFmt>
        <c:idx val="70"/>
        <c:spPr>
          <a:solidFill>
            <a:srgbClr val="8E6C00"/>
          </a:solidFill>
          <a:ln>
            <a:noFill/>
          </a:ln>
          <a:effectLst/>
        </c:spPr>
      </c:pivotFmt>
      <c:pivotFmt>
        <c:idx val="71"/>
        <c:spPr>
          <a:solidFill>
            <a:srgbClr val="9E7800"/>
          </a:solidFill>
          <a:ln>
            <a:noFill/>
          </a:ln>
          <a:effectLst/>
        </c:spPr>
      </c:pivotFmt>
      <c:pivotFmt>
        <c:idx val="72"/>
        <c:spPr>
          <a:solidFill>
            <a:srgbClr val="A47D00"/>
          </a:solidFill>
          <a:ln>
            <a:noFill/>
          </a:ln>
          <a:effectLst/>
        </c:spPr>
      </c:pivotFmt>
      <c:pivotFmt>
        <c:idx val="73"/>
        <c:spPr>
          <a:solidFill>
            <a:srgbClr val="A27B00"/>
          </a:solidFill>
          <a:ln>
            <a:noFill/>
          </a:ln>
          <a:effectLst/>
        </c:spPr>
      </c:pivotFmt>
      <c:pivotFmt>
        <c:idx val="74"/>
        <c:spPr>
          <a:solidFill>
            <a:srgbClr val="B08600"/>
          </a:solidFill>
          <a:ln>
            <a:noFill/>
          </a:ln>
          <a:effectLst/>
        </c:spPr>
      </c:pivotFmt>
      <c:pivotFmt>
        <c:idx val="75"/>
        <c:spPr>
          <a:solidFill>
            <a:srgbClr val="BC8F00"/>
          </a:solidFill>
          <a:ln>
            <a:noFill/>
          </a:ln>
          <a:effectLst/>
        </c:spPr>
      </c:pivotFmt>
      <c:pivotFmt>
        <c:idx val="76"/>
        <c:spPr>
          <a:solidFill>
            <a:srgbClr val="E2AC00"/>
          </a:solidFill>
          <a:ln>
            <a:noFill/>
          </a:ln>
          <a:effectLst/>
        </c:spPr>
      </c:pivotFmt>
    </c:pivotFmts>
    <c:plotArea>
      <c:layout>
        <c:manualLayout>
          <c:layoutTarget val="inner"/>
          <c:xMode val="edge"/>
          <c:yMode val="edge"/>
          <c:x val="0.16398233458844808"/>
          <c:y val="0.20086027837943971"/>
          <c:w val="0.74547680289070373"/>
          <c:h val="0.75501624866672468"/>
        </c:manualLayout>
      </c:layout>
      <c:barChart>
        <c:barDir val="bar"/>
        <c:grouping val="clustered"/>
        <c:varyColors val="0"/>
        <c:ser>
          <c:idx val="0"/>
          <c:order val="0"/>
          <c:tx>
            <c:strRef>
              <c:f>'Body Weight vs Life Span'!$B$3</c:f>
              <c:strCache>
                <c:ptCount val="1"/>
                <c:pt idx="0">
                  <c:v>Total</c:v>
                </c:pt>
              </c:strCache>
            </c:strRef>
          </c:tx>
          <c:spPr>
            <a:solidFill>
              <a:schemeClr val="accent1"/>
            </a:solidFill>
            <a:ln>
              <a:noFill/>
            </a:ln>
            <a:effectLst/>
          </c:spPr>
          <c:invertIfNegative val="0"/>
          <c:dPt>
            <c:idx val="0"/>
            <c:invertIfNegative val="0"/>
            <c:bubble3D val="0"/>
            <c:spPr>
              <a:solidFill>
                <a:srgbClr val="6C5200"/>
              </a:solidFill>
              <a:ln>
                <a:noFill/>
              </a:ln>
              <a:effectLst/>
            </c:spPr>
            <c:extLst>
              <c:ext xmlns:c16="http://schemas.microsoft.com/office/drawing/2014/chart" uri="{C3380CC4-5D6E-409C-BE32-E72D297353CC}">
                <c16:uniqueId val="{00000001-0B5D-4A56-93A7-6C86ACC888AF}"/>
              </c:ext>
            </c:extLst>
          </c:dPt>
          <c:dPt>
            <c:idx val="1"/>
            <c:invertIfNegative val="0"/>
            <c:bubble3D val="0"/>
            <c:spPr>
              <a:solidFill>
                <a:srgbClr val="745800"/>
              </a:solidFill>
              <a:ln>
                <a:noFill/>
              </a:ln>
              <a:effectLst/>
            </c:spPr>
            <c:extLst>
              <c:ext xmlns:c16="http://schemas.microsoft.com/office/drawing/2014/chart" uri="{C3380CC4-5D6E-409C-BE32-E72D297353CC}">
                <c16:uniqueId val="{00000003-0B5D-4A56-93A7-6C86ACC888AF}"/>
              </c:ext>
            </c:extLst>
          </c:dPt>
          <c:dPt>
            <c:idx val="2"/>
            <c:invertIfNegative val="0"/>
            <c:bubble3D val="0"/>
            <c:spPr>
              <a:solidFill>
                <a:srgbClr val="826300"/>
              </a:solidFill>
              <a:ln>
                <a:noFill/>
              </a:ln>
              <a:effectLst/>
            </c:spPr>
            <c:extLst>
              <c:ext xmlns:c16="http://schemas.microsoft.com/office/drawing/2014/chart" uri="{C3380CC4-5D6E-409C-BE32-E72D297353CC}">
                <c16:uniqueId val="{00000005-0B5D-4A56-93A7-6C86ACC888AF}"/>
              </c:ext>
            </c:extLst>
          </c:dPt>
          <c:dPt>
            <c:idx val="3"/>
            <c:invertIfNegative val="0"/>
            <c:bubble3D val="0"/>
            <c:spPr>
              <a:solidFill>
                <a:srgbClr val="8E6C00"/>
              </a:solidFill>
              <a:ln>
                <a:noFill/>
              </a:ln>
              <a:effectLst/>
            </c:spPr>
            <c:extLst>
              <c:ext xmlns:c16="http://schemas.microsoft.com/office/drawing/2014/chart" uri="{C3380CC4-5D6E-409C-BE32-E72D297353CC}">
                <c16:uniqueId val="{00000007-0B5D-4A56-93A7-6C86ACC888AF}"/>
              </c:ext>
            </c:extLst>
          </c:dPt>
          <c:dPt>
            <c:idx val="4"/>
            <c:invertIfNegative val="0"/>
            <c:bubble3D val="0"/>
            <c:spPr>
              <a:solidFill>
                <a:srgbClr val="9E7800"/>
              </a:solidFill>
              <a:ln>
                <a:noFill/>
              </a:ln>
              <a:effectLst/>
            </c:spPr>
            <c:extLst>
              <c:ext xmlns:c16="http://schemas.microsoft.com/office/drawing/2014/chart" uri="{C3380CC4-5D6E-409C-BE32-E72D297353CC}">
                <c16:uniqueId val="{00000009-0B5D-4A56-93A7-6C86ACC888AF}"/>
              </c:ext>
            </c:extLst>
          </c:dPt>
          <c:dPt>
            <c:idx val="5"/>
            <c:invertIfNegative val="0"/>
            <c:bubble3D val="0"/>
            <c:spPr>
              <a:solidFill>
                <a:srgbClr val="A47D00"/>
              </a:solidFill>
              <a:ln>
                <a:noFill/>
              </a:ln>
              <a:effectLst/>
            </c:spPr>
            <c:extLst>
              <c:ext xmlns:c16="http://schemas.microsoft.com/office/drawing/2014/chart" uri="{C3380CC4-5D6E-409C-BE32-E72D297353CC}">
                <c16:uniqueId val="{0000000B-0B5D-4A56-93A7-6C86ACC888AF}"/>
              </c:ext>
            </c:extLst>
          </c:dPt>
          <c:dPt>
            <c:idx val="6"/>
            <c:invertIfNegative val="0"/>
            <c:bubble3D val="0"/>
            <c:spPr>
              <a:solidFill>
                <a:srgbClr val="A27B00"/>
              </a:solidFill>
              <a:ln>
                <a:noFill/>
              </a:ln>
              <a:effectLst/>
            </c:spPr>
            <c:extLst>
              <c:ext xmlns:c16="http://schemas.microsoft.com/office/drawing/2014/chart" uri="{C3380CC4-5D6E-409C-BE32-E72D297353CC}">
                <c16:uniqueId val="{0000000D-0B5D-4A56-93A7-6C86ACC888AF}"/>
              </c:ext>
            </c:extLst>
          </c:dPt>
          <c:dPt>
            <c:idx val="7"/>
            <c:invertIfNegative val="0"/>
            <c:bubble3D val="0"/>
            <c:spPr>
              <a:solidFill>
                <a:srgbClr val="B08600"/>
              </a:solidFill>
              <a:ln>
                <a:noFill/>
              </a:ln>
              <a:effectLst/>
            </c:spPr>
            <c:extLst>
              <c:ext xmlns:c16="http://schemas.microsoft.com/office/drawing/2014/chart" uri="{C3380CC4-5D6E-409C-BE32-E72D297353CC}">
                <c16:uniqueId val="{0000000F-0B5D-4A56-93A7-6C86ACC888AF}"/>
              </c:ext>
            </c:extLst>
          </c:dPt>
          <c:dPt>
            <c:idx val="8"/>
            <c:invertIfNegative val="0"/>
            <c:bubble3D val="0"/>
            <c:spPr>
              <a:solidFill>
                <a:srgbClr val="BC8F00"/>
              </a:solidFill>
              <a:ln>
                <a:noFill/>
              </a:ln>
              <a:effectLst/>
            </c:spPr>
            <c:extLst>
              <c:ext xmlns:c16="http://schemas.microsoft.com/office/drawing/2014/chart" uri="{C3380CC4-5D6E-409C-BE32-E72D297353CC}">
                <c16:uniqueId val="{00000011-0B5D-4A56-93A7-6C86ACC888AF}"/>
              </c:ext>
            </c:extLst>
          </c:dPt>
          <c:dPt>
            <c:idx val="9"/>
            <c:invertIfNegative val="0"/>
            <c:bubble3D val="0"/>
            <c:spPr>
              <a:solidFill>
                <a:srgbClr val="E2AC00"/>
              </a:solidFill>
              <a:ln>
                <a:noFill/>
              </a:ln>
              <a:effectLst/>
            </c:spPr>
            <c:extLst>
              <c:ext xmlns:c16="http://schemas.microsoft.com/office/drawing/2014/chart" uri="{C3380CC4-5D6E-409C-BE32-E72D297353CC}">
                <c16:uniqueId val="{00000013-0B5D-4A56-93A7-6C86ACC888AF}"/>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 Weight vs Life Span'!$A$4:$A$14</c:f>
              <c:strCache>
                <c:ptCount val="10"/>
                <c:pt idx="0">
                  <c:v>1.41</c:v>
                </c:pt>
                <c:pt idx="1">
                  <c:v>6654</c:v>
                </c:pt>
                <c:pt idx="2">
                  <c:v>207</c:v>
                </c:pt>
                <c:pt idx="3">
                  <c:v>187.1</c:v>
                </c:pt>
                <c:pt idx="4">
                  <c:v>85</c:v>
                </c:pt>
                <c:pt idx="5">
                  <c:v>521</c:v>
                </c:pt>
                <c:pt idx="6">
                  <c:v>52.16</c:v>
                </c:pt>
                <c:pt idx="7">
                  <c:v>3</c:v>
                </c:pt>
                <c:pt idx="8">
                  <c:v>2547</c:v>
                </c:pt>
                <c:pt idx="9">
                  <c:v>62</c:v>
                </c:pt>
              </c:strCache>
            </c:strRef>
          </c:cat>
          <c:val>
            <c:numRef>
              <c:f>'Body Weight vs Life Span'!$B$4:$B$14</c:f>
              <c:numCache>
                <c:formatCode>General</c:formatCode>
                <c:ptCount val="10"/>
                <c:pt idx="0">
                  <c:v>34</c:v>
                </c:pt>
                <c:pt idx="1">
                  <c:v>38.6</c:v>
                </c:pt>
                <c:pt idx="2">
                  <c:v>39.299999999999997</c:v>
                </c:pt>
                <c:pt idx="3">
                  <c:v>40</c:v>
                </c:pt>
                <c:pt idx="4">
                  <c:v>41</c:v>
                </c:pt>
                <c:pt idx="5">
                  <c:v>46</c:v>
                </c:pt>
                <c:pt idx="6">
                  <c:v>50</c:v>
                </c:pt>
                <c:pt idx="7">
                  <c:v>50</c:v>
                </c:pt>
                <c:pt idx="8">
                  <c:v>69</c:v>
                </c:pt>
                <c:pt idx="9">
                  <c:v>100</c:v>
                </c:pt>
              </c:numCache>
            </c:numRef>
          </c:val>
          <c:extLst>
            <c:ext xmlns:c16="http://schemas.microsoft.com/office/drawing/2014/chart" uri="{C3380CC4-5D6E-409C-BE32-E72D297353CC}">
              <c16:uniqueId val="{00000014-0B5D-4A56-93A7-6C86ACC888AF}"/>
            </c:ext>
          </c:extLst>
        </c:ser>
        <c:dLbls>
          <c:dLblPos val="outEnd"/>
          <c:showLegendKey val="0"/>
          <c:showVal val="1"/>
          <c:showCatName val="0"/>
          <c:showSerName val="0"/>
          <c:showPercent val="0"/>
          <c:showBubbleSize val="0"/>
        </c:dLbls>
        <c:gapWidth val="48"/>
        <c:overlap val="4"/>
        <c:axId val="1316317392"/>
        <c:axId val="1316305872"/>
      </c:barChart>
      <c:catAx>
        <c:axId val="1316317392"/>
        <c:scaling>
          <c:orientation val="minMax"/>
        </c:scaling>
        <c:delete val="0"/>
        <c:axPos val="l"/>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24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b"/>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400"/>
    </a:solidFill>
    <a:ln w="9525" cap="flat" cmpd="sng" algn="ctr">
      <a:solidFill>
        <a:srgbClr val="E2A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Report.xlsx]Gestation Time vs Life Span!PivotTable1</c:name>
    <c:fmtId val="17"/>
  </c:pivotSource>
  <c:chart>
    <c:autoTitleDeleted val="1"/>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2AC00"/>
          </a:solidFill>
          <a:ln>
            <a:noFill/>
          </a:ln>
          <a:effectLst/>
        </c:spPr>
      </c:pivotFmt>
      <c:pivotFmt>
        <c:idx val="46"/>
        <c:spPr>
          <a:solidFill>
            <a:srgbClr val="745800"/>
          </a:solidFill>
          <a:ln>
            <a:noFill/>
          </a:ln>
          <a:effectLst/>
        </c:spPr>
      </c:pivotFmt>
      <c:pivotFmt>
        <c:idx val="47"/>
        <c:spPr>
          <a:solidFill>
            <a:srgbClr val="826300"/>
          </a:solidFill>
          <a:ln>
            <a:noFill/>
          </a:ln>
          <a:effectLst/>
        </c:spPr>
      </c:pivotFmt>
      <c:pivotFmt>
        <c:idx val="48"/>
        <c:spPr>
          <a:solidFill>
            <a:srgbClr val="8E6C00"/>
          </a:solidFill>
          <a:ln>
            <a:noFill/>
          </a:ln>
          <a:effectLst/>
        </c:spPr>
      </c:pivotFmt>
      <c:pivotFmt>
        <c:idx val="49"/>
        <c:spPr>
          <a:solidFill>
            <a:srgbClr val="9E7800"/>
          </a:solidFill>
          <a:ln>
            <a:noFill/>
          </a:ln>
          <a:effectLst/>
        </c:spPr>
      </c:pivotFmt>
      <c:pivotFmt>
        <c:idx val="50"/>
        <c:spPr>
          <a:solidFill>
            <a:srgbClr val="A47D00"/>
          </a:solidFill>
          <a:ln>
            <a:noFill/>
          </a:ln>
          <a:effectLst/>
        </c:spPr>
      </c:pivotFmt>
      <c:pivotFmt>
        <c:idx val="51"/>
        <c:spPr>
          <a:solidFill>
            <a:srgbClr val="A27B00"/>
          </a:solidFill>
          <a:ln>
            <a:noFill/>
          </a:ln>
          <a:effectLst/>
        </c:spPr>
      </c:pivotFmt>
      <c:pivotFmt>
        <c:idx val="52"/>
        <c:spPr>
          <a:solidFill>
            <a:srgbClr val="B08600"/>
          </a:solidFill>
          <a:ln>
            <a:noFill/>
          </a:ln>
          <a:effectLst/>
        </c:spPr>
      </c:pivotFmt>
      <c:pivotFmt>
        <c:idx val="53"/>
        <c:spPr>
          <a:solidFill>
            <a:srgbClr val="BC8F00"/>
          </a:solidFill>
          <a:ln>
            <a:noFill/>
          </a:ln>
          <a:effectLst/>
        </c:spPr>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E2AC00"/>
          </a:solidFill>
          <a:ln>
            <a:noFill/>
          </a:ln>
          <a:effectLst/>
        </c:spPr>
      </c:pivotFmt>
      <c:pivotFmt>
        <c:idx val="56"/>
        <c:spPr>
          <a:solidFill>
            <a:srgbClr val="745800"/>
          </a:solidFill>
          <a:ln>
            <a:noFill/>
          </a:ln>
          <a:effectLst/>
        </c:spPr>
      </c:pivotFmt>
      <c:pivotFmt>
        <c:idx val="57"/>
        <c:spPr>
          <a:solidFill>
            <a:srgbClr val="826300"/>
          </a:solidFill>
          <a:ln>
            <a:noFill/>
          </a:ln>
          <a:effectLst/>
        </c:spPr>
      </c:pivotFmt>
      <c:pivotFmt>
        <c:idx val="58"/>
        <c:spPr>
          <a:solidFill>
            <a:srgbClr val="8E6C00"/>
          </a:solidFill>
          <a:ln>
            <a:noFill/>
          </a:ln>
          <a:effectLst/>
        </c:spPr>
      </c:pivotFmt>
      <c:pivotFmt>
        <c:idx val="59"/>
        <c:spPr>
          <a:solidFill>
            <a:srgbClr val="9E7800"/>
          </a:solidFill>
          <a:ln>
            <a:noFill/>
          </a:ln>
          <a:effectLst/>
        </c:spPr>
      </c:pivotFmt>
      <c:pivotFmt>
        <c:idx val="60"/>
        <c:spPr>
          <a:solidFill>
            <a:srgbClr val="A47D00"/>
          </a:solidFill>
          <a:ln>
            <a:noFill/>
          </a:ln>
          <a:effectLst/>
        </c:spPr>
      </c:pivotFmt>
      <c:pivotFmt>
        <c:idx val="61"/>
        <c:spPr>
          <a:solidFill>
            <a:srgbClr val="A27B00"/>
          </a:solidFill>
          <a:ln>
            <a:noFill/>
          </a:ln>
          <a:effectLst/>
        </c:spPr>
      </c:pivotFmt>
      <c:pivotFmt>
        <c:idx val="62"/>
        <c:spPr>
          <a:solidFill>
            <a:srgbClr val="B08600"/>
          </a:solidFill>
          <a:ln>
            <a:noFill/>
          </a:ln>
          <a:effectLst/>
        </c:spPr>
      </c:pivotFmt>
      <c:pivotFmt>
        <c:idx val="63"/>
        <c:spPr>
          <a:solidFill>
            <a:srgbClr val="BC8F00"/>
          </a:solidFill>
          <a:ln>
            <a:noFill/>
          </a:ln>
          <a:effectLst/>
        </c:spPr>
      </c:pivotFmt>
      <c:pivotFmt>
        <c:idx val="64"/>
        <c:spPr>
          <a:solidFill>
            <a:srgbClr val="E2AC00"/>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6C5200"/>
          </a:solidFill>
          <a:ln>
            <a:noFill/>
          </a:ln>
          <a:effectLst/>
        </c:spPr>
      </c:pivotFmt>
      <c:pivotFmt>
        <c:idx val="67"/>
        <c:spPr>
          <a:solidFill>
            <a:srgbClr val="745800"/>
          </a:solidFill>
          <a:ln>
            <a:noFill/>
          </a:ln>
          <a:effectLst/>
        </c:spPr>
      </c:pivotFmt>
      <c:pivotFmt>
        <c:idx val="68"/>
        <c:spPr>
          <a:solidFill>
            <a:srgbClr val="826300"/>
          </a:solidFill>
          <a:ln>
            <a:noFill/>
          </a:ln>
          <a:effectLst/>
        </c:spPr>
      </c:pivotFmt>
      <c:pivotFmt>
        <c:idx val="69"/>
        <c:spPr>
          <a:solidFill>
            <a:srgbClr val="8E6C00"/>
          </a:solidFill>
          <a:ln>
            <a:noFill/>
          </a:ln>
          <a:effectLst/>
        </c:spPr>
      </c:pivotFmt>
      <c:pivotFmt>
        <c:idx val="70"/>
        <c:spPr>
          <a:solidFill>
            <a:srgbClr val="9E7800"/>
          </a:solidFill>
          <a:ln>
            <a:noFill/>
          </a:ln>
          <a:effectLst/>
        </c:spPr>
      </c:pivotFmt>
      <c:pivotFmt>
        <c:idx val="71"/>
        <c:spPr>
          <a:solidFill>
            <a:srgbClr val="A47D00"/>
          </a:solidFill>
          <a:ln>
            <a:noFill/>
          </a:ln>
          <a:effectLst/>
        </c:spPr>
      </c:pivotFmt>
      <c:pivotFmt>
        <c:idx val="72"/>
        <c:spPr>
          <a:solidFill>
            <a:srgbClr val="A27B00"/>
          </a:solidFill>
          <a:ln>
            <a:noFill/>
          </a:ln>
          <a:effectLst/>
        </c:spPr>
      </c:pivotFmt>
      <c:pivotFmt>
        <c:idx val="73"/>
        <c:spPr>
          <a:solidFill>
            <a:srgbClr val="B08600"/>
          </a:solidFill>
          <a:ln>
            <a:noFill/>
          </a:ln>
          <a:effectLst/>
        </c:spPr>
      </c:pivotFmt>
      <c:pivotFmt>
        <c:idx val="74"/>
        <c:spPr>
          <a:solidFill>
            <a:srgbClr val="BC8F00"/>
          </a:solidFill>
          <a:ln>
            <a:noFill/>
          </a:ln>
          <a:effectLst/>
        </c:spPr>
      </c:pivotFmt>
      <c:pivotFmt>
        <c:idx val="75"/>
        <c:spPr>
          <a:solidFill>
            <a:srgbClr val="E2AC00"/>
          </a:solidFill>
          <a:ln>
            <a:noFill/>
          </a:ln>
          <a:effectLst/>
        </c:spPr>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6C5200"/>
          </a:solidFill>
          <a:ln>
            <a:noFill/>
          </a:ln>
          <a:effectLst/>
        </c:spPr>
      </c:pivotFmt>
      <c:pivotFmt>
        <c:idx val="78"/>
        <c:spPr>
          <a:solidFill>
            <a:srgbClr val="745800"/>
          </a:solidFill>
          <a:ln>
            <a:noFill/>
          </a:ln>
          <a:effectLst/>
        </c:spPr>
      </c:pivotFmt>
      <c:pivotFmt>
        <c:idx val="79"/>
        <c:spPr>
          <a:solidFill>
            <a:srgbClr val="826300"/>
          </a:solidFill>
          <a:ln>
            <a:noFill/>
          </a:ln>
          <a:effectLst/>
        </c:spPr>
      </c:pivotFmt>
      <c:pivotFmt>
        <c:idx val="80"/>
        <c:spPr>
          <a:solidFill>
            <a:srgbClr val="8E6C00"/>
          </a:solidFill>
          <a:ln>
            <a:noFill/>
          </a:ln>
          <a:effectLst/>
        </c:spPr>
      </c:pivotFmt>
      <c:pivotFmt>
        <c:idx val="81"/>
        <c:spPr>
          <a:solidFill>
            <a:srgbClr val="9E7800"/>
          </a:solidFill>
          <a:ln>
            <a:noFill/>
          </a:ln>
          <a:effectLst/>
        </c:spPr>
      </c:pivotFmt>
      <c:pivotFmt>
        <c:idx val="82"/>
        <c:spPr>
          <a:solidFill>
            <a:srgbClr val="A47D00"/>
          </a:solidFill>
          <a:ln>
            <a:noFill/>
          </a:ln>
          <a:effectLst/>
        </c:spPr>
      </c:pivotFmt>
      <c:pivotFmt>
        <c:idx val="83"/>
        <c:spPr>
          <a:solidFill>
            <a:srgbClr val="A27B00"/>
          </a:solidFill>
          <a:ln>
            <a:noFill/>
          </a:ln>
          <a:effectLst/>
        </c:spPr>
      </c:pivotFmt>
      <c:pivotFmt>
        <c:idx val="84"/>
        <c:spPr>
          <a:solidFill>
            <a:srgbClr val="B08600"/>
          </a:solidFill>
          <a:ln>
            <a:noFill/>
          </a:ln>
          <a:effectLst/>
        </c:spPr>
      </c:pivotFmt>
      <c:pivotFmt>
        <c:idx val="85"/>
        <c:spPr>
          <a:solidFill>
            <a:srgbClr val="BC8F00"/>
          </a:solidFill>
          <a:ln>
            <a:noFill/>
          </a:ln>
          <a:effectLst/>
        </c:spPr>
      </c:pivotFmt>
      <c:pivotFmt>
        <c:idx val="86"/>
        <c:spPr>
          <a:solidFill>
            <a:srgbClr val="E2AC00"/>
          </a:solidFill>
          <a:ln>
            <a:noFill/>
          </a:ln>
          <a:effectLst/>
        </c:spPr>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6C5200"/>
          </a:solidFill>
          <a:ln>
            <a:noFill/>
          </a:ln>
          <a:effectLst/>
        </c:spPr>
      </c:pivotFmt>
      <c:pivotFmt>
        <c:idx val="89"/>
        <c:spPr>
          <a:solidFill>
            <a:srgbClr val="745800"/>
          </a:solidFill>
          <a:ln>
            <a:noFill/>
          </a:ln>
          <a:effectLst/>
        </c:spPr>
      </c:pivotFmt>
      <c:pivotFmt>
        <c:idx val="90"/>
        <c:spPr>
          <a:solidFill>
            <a:srgbClr val="826300"/>
          </a:solidFill>
          <a:ln>
            <a:noFill/>
          </a:ln>
          <a:effectLst/>
        </c:spPr>
      </c:pivotFmt>
      <c:pivotFmt>
        <c:idx val="91"/>
        <c:spPr>
          <a:solidFill>
            <a:srgbClr val="8E6C00"/>
          </a:solidFill>
          <a:ln>
            <a:noFill/>
          </a:ln>
          <a:effectLst/>
        </c:spPr>
      </c:pivotFmt>
      <c:pivotFmt>
        <c:idx val="92"/>
        <c:spPr>
          <a:solidFill>
            <a:srgbClr val="9E7800"/>
          </a:solidFill>
          <a:ln>
            <a:noFill/>
          </a:ln>
          <a:effectLst/>
        </c:spPr>
      </c:pivotFmt>
      <c:pivotFmt>
        <c:idx val="93"/>
        <c:spPr>
          <a:solidFill>
            <a:srgbClr val="A47D00"/>
          </a:solidFill>
          <a:ln>
            <a:noFill/>
          </a:ln>
          <a:effectLst/>
        </c:spPr>
      </c:pivotFmt>
      <c:pivotFmt>
        <c:idx val="94"/>
        <c:spPr>
          <a:solidFill>
            <a:srgbClr val="A27B00"/>
          </a:solidFill>
          <a:ln>
            <a:noFill/>
          </a:ln>
          <a:effectLst/>
        </c:spPr>
      </c:pivotFmt>
      <c:pivotFmt>
        <c:idx val="95"/>
        <c:spPr>
          <a:solidFill>
            <a:srgbClr val="B08600"/>
          </a:solidFill>
          <a:ln>
            <a:noFill/>
          </a:ln>
          <a:effectLst/>
        </c:spPr>
      </c:pivotFmt>
      <c:pivotFmt>
        <c:idx val="96"/>
        <c:spPr>
          <a:solidFill>
            <a:srgbClr val="BC8F00"/>
          </a:solidFill>
          <a:ln>
            <a:noFill/>
          </a:ln>
          <a:effectLst/>
        </c:spPr>
      </c:pivotFmt>
      <c:pivotFmt>
        <c:idx val="97"/>
        <c:spPr>
          <a:solidFill>
            <a:srgbClr val="E2AC00"/>
          </a:solidFill>
          <a:ln>
            <a:noFill/>
          </a:ln>
          <a:effectLst/>
        </c:spPr>
      </c:pivotFmt>
    </c:pivotFmts>
    <c:plotArea>
      <c:layout>
        <c:manualLayout>
          <c:layoutTarget val="inner"/>
          <c:xMode val="edge"/>
          <c:yMode val="edge"/>
          <c:x val="0.13777313754293938"/>
          <c:y val="0.18723866466495692"/>
          <c:w val="0.77168599993621234"/>
          <c:h val="0.76863779875844607"/>
        </c:manualLayout>
      </c:layout>
      <c:barChart>
        <c:barDir val="bar"/>
        <c:grouping val="clustered"/>
        <c:varyColors val="0"/>
        <c:ser>
          <c:idx val="0"/>
          <c:order val="0"/>
          <c:tx>
            <c:strRef>
              <c:f>'Gestation Time vs Life Span'!$B$3</c:f>
              <c:strCache>
                <c:ptCount val="1"/>
                <c:pt idx="0">
                  <c:v>Total</c:v>
                </c:pt>
              </c:strCache>
            </c:strRef>
          </c:tx>
          <c:spPr>
            <a:solidFill>
              <a:schemeClr val="accent1"/>
            </a:solidFill>
            <a:ln>
              <a:noFill/>
            </a:ln>
            <a:effectLst/>
          </c:spPr>
          <c:invertIfNegative val="0"/>
          <c:dPt>
            <c:idx val="0"/>
            <c:invertIfNegative val="0"/>
            <c:bubble3D val="0"/>
            <c:spPr>
              <a:solidFill>
                <a:srgbClr val="6C5200"/>
              </a:solidFill>
              <a:ln>
                <a:noFill/>
              </a:ln>
              <a:effectLst/>
            </c:spPr>
            <c:extLst>
              <c:ext xmlns:c16="http://schemas.microsoft.com/office/drawing/2014/chart" uri="{C3380CC4-5D6E-409C-BE32-E72D297353CC}">
                <c16:uniqueId val="{00000001-2ADA-42B8-8056-4C3D679A0EDD}"/>
              </c:ext>
            </c:extLst>
          </c:dPt>
          <c:dPt>
            <c:idx val="1"/>
            <c:invertIfNegative val="0"/>
            <c:bubble3D val="0"/>
            <c:spPr>
              <a:solidFill>
                <a:srgbClr val="745800"/>
              </a:solidFill>
              <a:ln>
                <a:noFill/>
              </a:ln>
              <a:effectLst/>
            </c:spPr>
            <c:extLst>
              <c:ext xmlns:c16="http://schemas.microsoft.com/office/drawing/2014/chart" uri="{C3380CC4-5D6E-409C-BE32-E72D297353CC}">
                <c16:uniqueId val="{00000003-2ADA-42B8-8056-4C3D679A0EDD}"/>
              </c:ext>
            </c:extLst>
          </c:dPt>
          <c:dPt>
            <c:idx val="2"/>
            <c:invertIfNegative val="0"/>
            <c:bubble3D val="0"/>
            <c:spPr>
              <a:solidFill>
                <a:srgbClr val="826300"/>
              </a:solidFill>
              <a:ln>
                <a:noFill/>
              </a:ln>
              <a:effectLst/>
            </c:spPr>
            <c:extLst>
              <c:ext xmlns:c16="http://schemas.microsoft.com/office/drawing/2014/chart" uri="{C3380CC4-5D6E-409C-BE32-E72D297353CC}">
                <c16:uniqueId val="{00000005-2ADA-42B8-8056-4C3D679A0EDD}"/>
              </c:ext>
            </c:extLst>
          </c:dPt>
          <c:dPt>
            <c:idx val="3"/>
            <c:invertIfNegative val="0"/>
            <c:bubble3D val="0"/>
            <c:spPr>
              <a:solidFill>
                <a:srgbClr val="8E6C00"/>
              </a:solidFill>
              <a:ln>
                <a:noFill/>
              </a:ln>
              <a:effectLst/>
            </c:spPr>
            <c:extLst>
              <c:ext xmlns:c16="http://schemas.microsoft.com/office/drawing/2014/chart" uri="{C3380CC4-5D6E-409C-BE32-E72D297353CC}">
                <c16:uniqueId val="{00000007-2ADA-42B8-8056-4C3D679A0EDD}"/>
              </c:ext>
            </c:extLst>
          </c:dPt>
          <c:dPt>
            <c:idx val="4"/>
            <c:invertIfNegative val="0"/>
            <c:bubble3D val="0"/>
            <c:spPr>
              <a:solidFill>
                <a:srgbClr val="9E7800"/>
              </a:solidFill>
              <a:ln>
                <a:noFill/>
              </a:ln>
              <a:effectLst/>
            </c:spPr>
            <c:extLst>
              <c:ext xmlns:c16="http://schemas.microsoft.com/office/drawing/2014/chart" uri="{C3380CC4-5D6E-409C-BE32-E72D297353CC}">
                <c16:uniqueId val="{00000009-2ADA-42B8-8056-4C3D679A0EDD}"/>
              </c:ext>
            </c:extLst>
          </c:dPt>
          <c:dPt>
            <c:idx val="5"/>
            <c:invertIfNegative val="0"/>
            <c:bubble3D val="0"/>
            <c:spPr>
              <a:solidFill>
                <a:srgbClr val="A47D00"/>
              </a:solidFill>
              <a:ln>
                <a:noFill/>
              </a:ln>
              <a:effectLst/>
            </c:spPr>
            <c:extLst>
              <c:ext xmlns:c16="http://schemas.microsoft.com/office/drawing/2014/chart" uri="{C3380CC4-5D6E-409C-BE32-E72D297353CC}">
                <c16:uniqueId val="{0000000B-2ADA-42B8-8056-4C3D679A0EDD}"/>
              </c:ext>
            </c:extLst>
          </c:dPt>
          <c:dPt>
            <c:idx val="6"/>
            <c:invertIfNegative val="0"/>
            <c:bubble3D val="0"/>
            <c:spPr>
              <a:solidFill>
                <a:srgbClr val="A27B00"/>
              </a:solidFill>
              <a:ln>
                <a:noFill/>
              </a:ln>
              <a:effectLst/>
            </c:spPr>
            <c:extLst>
              <c:ext xmlns:c16="http://schemas.microsoft.com/office/drawing/2014/chart" uri="{C3380CC4-5D6E-409C-BE32-E72D297353CC}">
                <c16:uniqueId val="{0000000D-2ADA-42B8-8056-4C3D679A0EDD}"/>
              </c:ext>
            </c:extLst>
          </c:dPt>
          <c:dPt>
            <c:idx val="7"/>
            <c:invertIfNegative val="0"/>
            <c:bubble3D val="0"/>
            <c:spPr>
              <a:solidFill>
                <a:srgbClr val="B08600"/>
              </a:solidFill>
              <a:ln>
                <a:noFill/>
              </a:ln>
              <a:effectLst/>
            </c:spPr>
            <c:extLst>
              <c:ext xmlns:c16="http://schemas.microsoft.com/office/drawing/2014/chart" uri="{C3380CC4-5D6E-409C-BE32-E72D297353CC}">
                <c16:uniqueId val="{0000000F-2ADA-42B8-8056-4C3D679A0EDD}"/>
              </c:ext>
            </c:extLst>
          </c:dPt>
          <c:dPt>
            <c:idx val="8"/>
            <c:invertIfNegative val="0"/>
            <c:bubble3D val="0"/>
            <c:spPr>
              <a:solidFill>
                <a:srgbClr val="BC8F00"/>
              </a:solidFill>
              <a:ln>
                <a:noFill/>
              </a:ln>
              <a:effectLst/>
            </c:spPr>
            <c:extLst>
              <c:ext xmlns:c16="http://schemas.microsoft.com/office/drawing/2014/chart" uri="{C3380CC4-5D6E-409C-BE32-E72D297353CC}">
                <c16:uniqueId val="{00000011-2ADA-42B8-8056-4C3D679A0EDD}"/>
              </c:ext>
            </c:extLst>
          </c:dPt>
          <c:dPt>
            <c:idx val="9"/>
            <c:invertIfNegative val="0"/>
            <c:bubble3D val="0"/>
            <c:spPr>
              <a:solidFill>
                <a:srgbClr val="E2AC00"/>
              </a:solidFill>
              <a:ln>
                <a:noFill/>
              </a:ln>
              <a:effectLst/>
            </c:spPr>
            <c:extLst>
              <c:ext xmlns:c16="http://schemas.microsoft.com/office/drawing/2014/chart" uri="{C3380CC4-5D6E-409C-BE32-E72D297353CC}">
                <c16:uniqueId val="{00000013-2ADA-42B8-8056-4C3D679A0EDD}"/>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'Gestation Time vs Life Span'!$A$4:$A$14</c:f>
              <c:strCache>
                <c:ptCount val="10"/>
                <c:pt idx="0">
                  <c:v>100</c:v>
                </c:pt>
                <c:pt idx="1">
                  <c:v>30</c:v>
                </c:pt>
                <c:pt idx="2">
                  <c:v>41</c:v>
                </c:pt>
                <c:pt idx="3">
                  <c:v>46</c:v>
                </c:pt>
                <c:pt idx="4">
                  <c:v>40</c:v>
                </c:pt>
                <c:pt idx="5">
                  <c:v>30.4</c:v>
                </c:pt>
                <c:pt idx="6">
                  <c:v>28</c:v>
                </c:pt>
                <c:pt idx="7">
                  <c:v>23.6</c:v>
                </c:pt>
                <c:pt idx="8">
                  <c:v>69</c:v>
                </c:pt>
                <c:pt idx="9">
                  <c:v>38.6</c:v>
                </c:pt>
              </c:strCache>
            </c:strRef>
          </c:cat>
          <c:val>
            <c:numRef>
              <c:f>'Gestation Time vs Life Span'!$B$4:$B$14</c:f>
              <c:numCache>
                <c:formatCode>General</c:formatCode>
                <c:ptCount val="10"/>
                <c:pt idx="0">
                  <c:v>267</c:v>
                </c:pt>
                <c:pt idx="1">
                  <c:v>281</c:v>
                </c:pt>
                <c:pt idx="2">
                  <c:v>310</c:v>
                </c:pt>
                <c:pt idx="3">
                  <c:v>336</c:v>
                </c:pt>
                <c:pt idx="4">
                  <c:v>365</c:v>
                </c:pt>
                <c:pt idx="5">
                  <c:v>392</c:v>
                </c:pt>
                <c:pt idx="6">
                  <c:v>400</c:v>
                </c:pt>
                <c:pt idx="7">
                  <c:v>440</c:v>
                </c:pt>
                <c:pt idx="8">
                  <c:v>624</c:v>
                </c:pt>
                <c:pt idx="9">
                  <c:v>645</c:v>
                </c:pt>
              </c:numCache>
            </c:numRef>
          </c:val>
          <c:extLst>
            <c:ext xmlns:c16="http://schemas.microsoft.com/office/drawing/2014/chart" uri="{C3380CC4-5D6E-409C-BE32-E72D297353CC}">
              <c16:uniqueId val="{00000014-2ADA-42B8-8056-4C3D679A0EDD}"/>
            </c:ext>
          </c:extLst>
        </c:ser>
        <c:dLbls>
          <c:dLblPos val="outEnd"/>
          <c:showLegendKey val="0"/>
          <c:showVal val="1"/>
          <c:showCatName val="0"/>
          <c:showSerName val="0"/>
          <c:showPercent val="0"/>
          <c:showBubbleSize val="0"/>
        </c:dLbls>
        <c:gapWidth val="48"/>
        <c:overlap val="4"/>
        <c:axId val="1316317392"/>
        <c:axId val="1316305872"/>
      </c:barChart>
      <c:catAx>
        <c:axId val="1316317392"/>
        <c:scaling>
          <c:orientation val="minMax"/>
        </c:scaling>
        <c:delete val="0"/>
        <c:axPos val="l"/>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24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b"/>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400"/>
    </a:solidFill>
    <a:ln w="9525" cap="flat" cmpd="sng" algn="ctr">
      <a:solidFill>
        <a:srgbClr val="E2A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Report.xlsx]Sleep Exposure vs. Sleep!PivotTable1</c:name>
    <c:fmtId val="34"/>
  </c:pivotSource>
  <c:chart>
    <c:title>
      <c:tx>
        <c:rich>
          <a:bodyPr rot="0" spcFirstLastPara="1" vertOverflow="ellipsis" vert="horz" wrap="square" anchor="ctr" anchorCtr="1"/>
          <a:lstStyle/>
          <a:p>
            <a:pPr>
              <a:defRPr sz="2800" b="0" i="0" u="none" strike="noStrike" kern="1200" spc="0" baseline="0">
                <a:solidFill>
                  <a:srgbClr val="E2AC00"/>
                </a:solidFill>
                <a:latin typeface="+mn-lt"/>
                <a:ea typeface="+mn-ea"/>
                <a:cs typeface="+mn-cs"/>
              </a:defRPr>
            </a:pPr>
            <a:r>
              <a:rPr lang="en-US" sz="2800" b="1" baseline="0">
                <a:solidFill>
                  <a:srgbClr val="E2AC00"/>
                </a:solidFill>
                <a:latin typeface="Bodoni MT" panose="02070603080606020203" pitchFamily="18" charset="0"/>
              </a:rPr>
              <a:t>Sleep Exposure Index vs. Total Sleep Analysis</a:t>
            </a:r>
            <a:endParaRPr lang="en-US" sz="2800"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16240E"/>
          </a:solidFill>
          <a:ln>
            <a:noFill/>
          </a:ln>
          <a:effectLst/>
        </c:spPr>
      </c:pivotFmt>
      <c:pivotFmt>
        <c:idx val="48"/>
        <c:spPr>
          <a:solidFill>
            <a:srgbClr val="253917"/>
          </a:solidFill>
          <a:ln>
            <a:noFill/>
          </a:ln>
          <a:effectLst/>
        </c:spPr>
      </c:pivotFmt>
      <c:pivotFmt>
        <c:idx val="49"/>
        <c:spPr>
          <a:solidFill>
            <a:srgbClr val="3C5D25"/>
          </a:solidFill>
          <a:ln>
            <a:noFill/>
          </a:ln>
          <a:effectLst/>
        </c:spPr>
      </c:pivotFmt>
      <c:pivotFmt>
        <c:idx val="50"/>
        <c:spPr>
          <a:solidFill>
            <a:srgbClr val="4F7A32"/>
          </a:solidFill>
          <a:ln>
            <a:noFill/>
          </a:ln>
          <a:effectLst/>
        </c:spPr>
      </c:pivotFmt>
      <c:pivotFmt>
        <c:idx val="51"/>
        <c:spPr>
          <a:solidFill>
            <a:srgbClr val="6AA442"/>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16240E"/>
          </a:solidFill>
          <a:ln>
            <a:noFill/>
          </a:ln>
          <a:effectLst/>
        </c:spPr>
      </c:pivotFmt>
      <c:pivotFmt>
        <c:idx val="54"/>
        <c:spPr>
          <a:solidFill>
            <a:srgbClr val="253917"/>
          </a:solidFill>
          <a:ln>
            <a:noFill/>
          </a:ln>
          <a:effectLst/>
        </c:spPr>
      </c:pivotFmt>
      <c:pivotFmt>
        <c:idx val="55"/>
        <c:spPr>
          <a:solidFill>
            <a:srgbClr val="3C5D25"/>
          </a:solidFill>
          <a:ln>
            <a:noFill/>
          </a:ln>
          <a:effectLst/>
        </c:spPr>
      </c:pivotFmt>
      <c:pivotFmt>
        <c:idx val="56"/>
        <c:spPr>
          <a:solidFill>
            <a:srgbClr val="4F7A32"/>
          </a:solidFill>
          <a:ln>
            <a:noFill/>
          </a:ln>
          <a:effectLst/>
        </c:spPr>
      </c:pivotFmt>
      <c:pivotFmt>
        <c:idx val="57"/>
        <c:spPr>
          <a:solidFill>
            <a:srgbClr val="6AA442"/>
          </a:solidFill>
          <a:ln>
            <a:noFill/>
          </a:ln>
          <a:effectLst/>
        </c:spPr>
      </c:pivotFmt>
      <c:pivotFmt>
        <c:idx val="58"/>
        <c:spPr>
          <a:solidFill>
            <a:srgbClr val="16240E"/>
          </a:solidFill>
          <a:ln>
            <a:noFill/>
          </a:ln>
          <a:effectLst/>
        </c:spPr>
      </c:pivotFmt>
      <c:pivotFmt>
        <c:idx val="59"/>
        <c:spPr>
          <a:solidFill>
            <a:srgbClr val="253917"/>
          </a:solidFill>
          <a:ln>
            <a:noFill/>
          </a:ln>
          <a:effectLst/>
        </c:spPr>
      </c:pivotFmt>
      <c:pivotFmt>
        <c:idx val="60"/>
        <c:spPr>
          <a:solidFill>
            <a:srgbClr val="3C5D25"/>
          </a:solidFill>
          <a:ln>
            <a:noFill/>
          </a:ln>
          <a:effectLst/>
        </c:spPr>
      </c:pivotFmt>
      <c:pivotFmt>
        <c:idx val="61"/>
        <c:spPr>
          <a:solidFill>
            <a:srgbClr val="4F7A32"/>
          </a:solidFill>
          <a:ln>
            <a:noFill/>
          </a:ln>
          <a:effectLst/>
        </c:spPr>
      </c:pivotFmt>
      <c:pivotFmt>
        <c:idx val="62"/>
        <c:spPr>
          <a:solidFill>
            <a:srgbClr val="6AA442"/>
          </a:solidFill>
          <a:ln>
            <a:noFill/>
          </a:ln>
          <a:effectLst/>
        </c:spPr>
      </c:pivotFmt>
      <c:pivotFmt>
        <c:idx val="63"/>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16240E"/>
          </a:solidFill>
          <a:ln>
            <a:noFill/>
          </a:ln>
          <a:effectLst/>
        </c:spPr>
      </c:pivotFmt>
      <c:pivotFmt>
        <c:idx val="65"/>
        <c:spPr>
          <a:solidFill>
            <a:srgbClr val="253917"/>
          </a:solidFill>
          <a:ln>
            <a:noFill/>
          </a:ln>
          <a:effectLst/>
        </c:spPr>
      </c:pivotFmt>
      <c:pivotFmt>
        <c:idx val="66"/>
        <c:spPr>
          <a:solidFill>
            <a:srgbClr val="3C5D25"/>
          </a:solidFill>
          <a:ln>
            <a:noFill/>
          </a:ln>
          <a:effectLst/>
        </c:spPr>
      </c:pivotFmt>
      <c:pivotFmt>
        <c:idx val="67"/>
        <c:spPr>
          <a:solidFill>
            <a:srgbClr val="4F7A32"/>
          </a:solidFill>
          <a:ln>
            <a:noFill/>
          </a:ln>
          <a:effectLst/>
        </c:spPr>
      </c:pivotFmt>
      <c:pivotFmt>
        <c:idx val="68"/>
        <c:spPr>
          <a:solidFill>
            <a:srgbClr val="6AA442"/>
          </a:solidFill>
          <a:ln>
            <a:noFill/>
          </a:ln>
          <a:effectLst/>
        </c:spPr>
      </c:pivotFmt>
      <c:pivotFmt>
        <c:idx val="69"/>
        <c:spPr>
          <a:solidFill>
            <a:srgbClr val="E2AC00"/>
          </a:solidFill>
          <a:ln>
            <a:noFill/>
          </a:ln>
          <a:effectLst/>
        </c:spPr>
      </c:pivotFmt>
      <c:pivotFmt>
        <c:idx val="70"/>
        <c:spPr>
          <a:solidFill>
            <a:srgbClr val="B88C00"/>
          </a:solidFill>
          <a:ln>
            <a:noFill/>
          </a:ln>
          <a:effectLst/>
        </c:spPr>
      </c:pivotFmt>
      <c:pivotFmt>
        <c:idx val="71"/>
        <c:spPr>
          <a:solidFill>
            <a:srgbClr val="967200"/>
          </a:solidFill>
          <a:ln>
            <a:noFill/>
          </a:ln>
          <a:effectLst/>
        </c:spPr>
      </c:pivotFmt>
      <c:pivotFmt>
        <c:idx val="72"/>
        <c:spPr>
          <a:solidFill>
            <a:srgbClr val="8E6C00"/>
          </a:solidFill>
          <a:ln>
            <a:noFill/>
          </a:ln>
          <a:effectLst/>
        </c:spPr>
      </c:pivotFmt>
      <c:pivotFmt>
        <c:idx val="73"/>
        <c:spPr>
          <a:solidFill>
            <a:srgbClr val="6C5200"/>
          </a:solidFill>
          <a:ln>
            <a:noFill/>
          </a:ln>
          <a:effectLst/>
        </c:spPr>
      </c:pivotFmt>
      <c:pivotFmt>
        <c:idx val="74"/>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B88C00"/>
          </a:solidFill>
          <a:ln>
            <a:noFill/>
          </a:ln>
          <a:effectLst/>
        </c:spPr>
      </c:pivotFmt>
      <c:pivotFmt>
        <c:idx val="76"/>
        <c:spPr>
          <a:solidFill>
            <a:srgbClr val="967200"/>
          </a:solidFill>
          <a:ln>
            <a:noFill/>
          </a:ln>
          <a:effectLst/>
        </c:spPr>
      </c:pivotFmt>
      <c:pivotFmt>
        <c:idx val="77"/>
        <c:spPr>
          <a:solidFill>
            <a:srgbClr val="8E6C00"/>
          </a:solidFill>
          <a:ln>
            <a:noFill/>
          </a:ln>
          <a:effectLst/>
        </c:spPr>
      </c:pivotFmt>
      <c:pivotFmt>
        <c:idx val="78"/>
        <c:spPr>
          <a:solidFill>
            <a:srgbClr val="6C5200"/>
          </a:solidFill>
          <a:ln>
            <a:noFill/>
          </a:ln>
          <a:effectLst/>
        </c:spPr>
      </c:pivotFmt>
      <c:pivotFmt>
        <c:idx val="79"/>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B88C00"/>
          </a:solidFill>
          <a:ln>
            <a:noFill/>
          </a:ln>
          <a:effectLst/>
        </c:spPr>
      </c:pivotFmt>
      <c:pivotFmt>
        <c:idx val="81"/>
        <c:spPr>
          <a:solidFill>
            <a:srgbClr val="967200"/>
          </a:solidFill>
          <a:ln>
            <a:noFill/>
          </a:ln>
          <a:effectLst/>
        </c:spPr>
      </c:pivotFmt>
      <c:pivotFmt>
        <c:idx val="82"/>
        <c:spPr>
          <a:solidFill>
            <a:srgbClr val="8E6C00"/>
          </a:solidFill>
          <a:ln>
            <a:noFill/>
          </a:ln>
          <a:effectLst/>
        </c:spPr>
      </c:pivotFmt>
      <c:pivotFmt>
        <c:idx val="83"/>
        <c:spPr>
          <a:solidFill>
            <a:srgbClr val="6C5200"/>
          </a:solidFill>
          <a:ln>
            <a:noFill/>
          </a:ln>
          <a:effectLst/>
        </c:spPr>
      </c:pivotFmt>
      <c:pivotFmt>
        <c:idx val="84"/>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B88C00"/>
          </a:solidFill>
          <a:ln>
            <a:noFill/>
          </a:ln>
          <a:effectLst/>
        </c:spPr>
      </c:pivotFmt>
      <c:pivotFmt>
        <c:idx val="86"/>
        <c:spPr>
          <a:solidFill>
            <a:srgbClr val="967200"/>
          </a:solidFill>
          <a:ln>
            <a:noFill/>
          </a:ln>
          <a:effectLst/>
        </c:spPr>
      </c:pivotFmt>
      <c:pivotFmt>
        <c:idx val="87"/>
        <c:spPr>
          <a:solidFill>
            <a:srgbClr val="8E6C00"/>
          </a:solidFill>
          <a:ln>
            <a:noFill/>
          </a:ln>
          <a:effectLst/>
        </c:spPr>
      </c:pivotFmt>
      <c:pivotFmt>
        <c:idx val="88"/>
        <c:spPr>
          <a:solidFill>
            <a:srgbClr val="6C5200"/>
          </a:solidFill>
          <a:ln>
            <a:noFill/>
          </a:ln>
          <a:effectLst/>
        </c:spPr>
      </c:pivotFmt>
      <c:pivotFmt>
        <c:idx val="89"/>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B88C00"/>
          </a:solidFill>
          <a:ln>
            <a:noFill/>
          </a:ln>
          <a:effectLst/>
        </c:spPr>
      </c:pivotFmt>
      <c:pivotFmt>
        <c:idx val="91"/>
        <c:spPr>
          <a:solidFill>
            <a:srgbClr val="967200"/>
          </a:solidFill>
          <a:ln>
            <a:noFill/>
          </a:ln>
          <a:effectLst/>
        </c:spPr>
      </c:pivotFmt>
      <c:pivotFmt>
        <c:idx val="92"/>
        <c:spPr>
          <a:solidFill>
            <a:srgbClr val="8E6C00"/>
          </a:solidFill>
          <a:ln>
            <a:noFill/>
          </a:ln>
          <a:effectLst/>
        </c:spPr>
      </c:pivotFmt>
      <c:pivotFmt>
        <c:idx val="93"/>
        <c:spPr>
          <a:solidFill>
            <a:srgbClr val="6C5200"/>
          </a:solidFill>
          <a:ln>
            <a:noFill/>
          </a:ln>
          <a:effectLst/>
        </c:spPr>
      </c:pivotFmt>
    </c:pivotFmts>
    <c:plotArea>
      <c:layout>
        <c:manualLayout>
          <c:layoutTarget val="inner"/>
          <c:xMode val="edge"/>
          <c:yMode val="edge"/>
          <c:x val="1.6569556343367112E-2"/>
          <c:y val="0.36836944776344543"/>
          <c:w val="0.96479974067064467"/>
          <c:h val="0.51149730719070308"/>
        </c:manualLayout>
      </c:layout>
      <c:barChart>
        <c:barDir val="col"/>
        <c:grouping val="clustered"/>
        <c:varyColors val="0"/>
        <c:ser>
          <c:idx val="0"/>
          <c:order val="0"/>
          <c:tx>
            <c:strRef>
              <c:f>'Sleep Exposure vs. Sleep'!$B$3</c:f>
              <c:strCache>
                <c:ptCount val="1"/>
                <c:pt idx="0">
                  <c:v>Total</c:v>
                </c:pt>
              </c:strCache>
            </c:strRef>
          </c:tx>
          <c:spPr>
            <a:solidFill>
              <a:srgbClr val="E2AC00"/>
            </a:solidFill>
            <a:ln>
              <a:noFill/>
            </a:ln>
            <a:effectLst/>
          </c:spPr>
          <c:invertIfNegative val="0"/>
          <c:dPt>
            <c:idx val="0"/>
            <c:invertIfNegative val="0"/>
            <c:bubble3D val="0"/>
            <c:extLst>
              <c:ext xmlns:c16="http://schemas.microsoft.com/office/drawing/2014/chart" uri="{C3380CC4-5D6E-409C-BE32-E72D297353CC}">
                <c16:uniqueId val="{00000000-97AE-439C-A553-90232238ED3F}"/>
              </c:ext>
            </c:extLst>
          </c:dPt>
          <c:dPt>
            <c:idx val="1"/>
            <c:invertIfNegative val="0"/>
            <c:bubble3D val="0"/>
            <c:spPr>
              <a:solidFill>
                <a:srgbClr val="B88C00"/>
              </a:solidFill>
              <a:ln>
                <a:noFill/>
              </a:ln>
              <a:effectLst/>
            </c:spPr>
            <c:extLst>
              <c:ext xmlns:c16="http://schemas.microsoft.com/office/drawing/2014/chart" uri="{C3380CC4-5D6E-409C-BE32-E72D297353CC}">
                <c16:uniqueId val="{00000002-97AE-439C-A553-90232238ED3F}"/>
              </c:ext>
            </c:extLst>
          </c:dPt>
          <c:dPt>
            <c:idx val="2"/>
            <c:invertIfNegative val="0"/>
            <c:bubble3D val="0"/>
            <c:spPr>
              <a:solidFill>
                <a:srgbClr val="967200"/>
              </a:solidFill>
              <a:ln>
                <a:noFill/>
              </a:ln>
              <a:effectLst/>
            </c:spPr>
            <c:extLst>
              <c:ext xmlns:c16="http://schemas.microsoft.com/office/drawing/2014/chart" uri="{C3380CC4-5D6E-409C-BE32-E72D297353CC}">
                <c16:uniqueId val="{00000004-97AE-439C-A553-90232238ED3F}"/>
              </c:ext>
            </c:extLst>
          </c:dPt>
          <c:dPt>
            <c:idx val="3"/>
            <c:invertIfNegative val="0"/>
            <c:bubble3D val="0"/>
            <c:spPr>
              <a:solidFill>
                <a:srgbClr val="8E6C00"/>
              </a:solidFill>
              <a:ln>
                <a:noFill/>
              </a:ln>
              <a:effectLst/>
            </c:spPr>
            <c:extLst>
              <c:ext xmlns:c16="http://schemas.microsoft.com/office/drawing/2014/chart" uri="{C3380CC4-5D6E-409C-BE32-E72D297353CC}">
                <c16:uniqueId val="{00000006-97AE-439C-A553-90232238ED3F}"/>
              </c:ext>
            </c:extLst>
          </c:dPt>
          <c:dPt>
            <c:idx val="4"/>
            <c:invertIfNegative val="0"/>
            <c:bubble3D val="0"/>
            <c:spPr>
              <a:solidFill>
                <a:srgbClr val="6C5200"/>
              </a:solidFill>
              <a:ln>
                <a:noFill/>
              </a:ln>
              <a:effectLst/>
            </c:spPr>
            <c:extLst>
              <c:ext xmlns:c16="http://schemas.microsoft.com/office/drawing/2014/chart" uri="{C3380CC4-5D6E-409C-BE32-E72D297353CC}">
                <c16:uniqueId val="{00000008-97AE-439C-A553-90232238ED3F}"/>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Exposure vs. Sleep'!$A$4:$A$9</c:f>
              <c:strCache>
                <c:ptCount val="5"/>
                <c:pt idx="0">
                  <c:v>1</c:v>
                </c:pt>
                <c:pt idx="1">
                  <c:v>2</c:v>
                </c:pt>
                <c:pt idx="2">
                  <c:v>4</c:v>
                </c:pt>
                <c:pt idx="3">
                  <c:v>5</c:v>
                </c:pt>
                <c:pt idx="4">
                  <c:v>3</c:v>
                </c:pt>
              </c:strCache>
            </c:strRef>
          </c:cat>
          <c:val>
            <c:numRef>
              <c:f>'Sleep Exposure vs. Sleep'!$B$4:$B$9</c:f>
              <c:numCache>
                <c:formatCode>General</c:formatCode>
                <c:ptCount val="5"/>
                <c:pt idx="0">
                  <c:v>336.6</c:v>
                </c:pt>
                <c:pt idx="1">
                  <c:v>144.5</c:v>
                </c:pt>
                <c:pt idx="2">
                  <c:v>53.599999999999994</c:v>
                </c:pt>
                <c:pt idx="3">
                  <c:v>41.9</c:v>
                </c:pt>
                <c:pt idx="4">
                  <c:v>34.299999999999997</c:v>
                </c:pt>
              </c:numCache>
            </c:numRef>
          </c:val>
          <c:extLst>
            <c:ext xmlns:c16="http://schemas.microsoft.com/office/drawing/2014/chart" uri="{C3380CC4-5D6E-409C-BE32-E72D297353CC}">
              <c16:uniqueId val="{00000009-97AE-439C-A553-90232238ED3F}"/>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b"/>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24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l"/>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400"/>
    </a:solidFill>
    <a:ln w="9525" cap="flat" cmpd="sng" algn="ctr">
      <a:solidFill>
        <a:srgbClr val="E2A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Report.xlsx]Predation Index vs. Total Sleep!PivotTable1</c:name>
    <c:fmtId val="25"/>
  </c:pivotSource>
  <c:chart>
    <c:autoTitleDeleted val="1"/>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E2AC00"/>
          </a:solidFill>
          <a:ln>
            <a:noFill/>
          </a:ln>
          <a:effectLst/>
        </c:spPr>
      </c:pivotFmt>
      <c:pivotFmt>
        <c:idx val="48"/>
        <c:spPr>
          <a:solidFill>
            <a:srgbClr val="B88C00"/>
          </a:solidFill>
          <a:ln>
            <a:noFill/>
          </a:ln>
          <a:effectLst/>
        </c:spPr>
      </c:pivotFmt>
      <c:pivotFmt>
        <c:idx val="49"/>
        <c:spPr>
          <a:solidFill>
            <a:srgbClr val="967200"/>
          </a:solidFill>
          <a:ln>
            <a:noFill/>
          </a:ln>
          <a:effectLst/>
        </c:spPr>
      </c:pivotFmt>
      <c:pivotFmt>
        <c:idx val="50"/>
        <c:spPr>
          <a:solidFill>
            <a:srgbClr val="8E6C00"/>
          </a:solidFill>
          <a:ln>
            <a:noFill/>
          </a:ln>
          <a:effectLst/>
        </c:spPr>
      </c:pivotFmt>
      <c:pivotFmt>
        <c:idx val="51"/>
        <c:spPr>
          <a:solidFill>
            <a:srgbClr val="6C5200"/>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E2AC00"/>
          </a:solidFill>
          <a:ln>
            <a:noFill/>
          </a:ln>
          <a:effectLst/>
        </c:spPr>
      </c:pivotFmt>
      <c:pivotFmt>
        <c:idx val="54"/>
        <c:spPr>
          <a:solidFill>
            <a:srgbClr val="B88C00"/>
          </a:solidFill>
          <a:ln>
            <a:noFill/>
          </a:ln>
          <a:effectLst/>
        </c:spPr>
      </c:pivotFmt>
      <c:pivotFmt>
        <c:idx val="55"/>
        <c:spPr>
          <a:solidFill>
            <a:srgbClr val="967200"/>
          </a:solidFill>
          <a:ln>
            <a:noFill/>
          </a:ln>
          <a:effectLst/>
        </c:spPr>
      </c:pivotFmt>
      <c:pivotFmt>
        <c:idx val="56"/>
        <c:spPr>
          <a:solidFill>
            <a:srgbClr val="8E6C00"/>
          </a:solidFill>
          <a:ln>
            <a:noFill/>
          </a:ln>
          <a:effectLst/>
        </c:spPr>
      </c:pivotFmt>
      <c:pivotFmt>
        <c:idx val="57"/>
        <c:spPr>
          <a:solidFill>
            <a:srgbClr val="6C5200"/>
          </a:solidFill>
          <a:ln>
            <a:noFill/>
          </a:ln>
          <a:effectLst/>
        </c:spP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2AC00"/>
          </a:solidFill>
          <a:ln>
            <a:noFill/>
          </a:ln>
          <a:effectLst/>
        </c:spPr>
      </c:pivotFmt>
      <c:pivotFmt>
        <c:idx val="60"/>
        <c:spPr>
          <a:solidFill>
            <a:srgbClr val="B88C00"/>
          </a:solidFill>
          <a:ln>
            <a:noFill/>
          </a:ln>
          <a:effectLst/>
        </c:spPr>
      </c:pivotFmt>
      <c:pivotFmt>
        <c:idx val="61"/>
        <c:spPr>
          <a:solidFill>
            <a:srgbClr val="967200"/>
          </a:solidFill>
          <a:ln>
            <a:noFill/>
          </a:ln>
          <a:effectLst/>
        </c:spPr>
      </c:pivotFmt>
      <c:pivotFmt>
        <c:idx val="62"/>
        <c:spPr>
          <a:solidFill>
            <a:srgbClr val="8E6C00"/>
          </a:solidFill>
          <a:ln>
            <a:noFill/>
          </a:ln>
          <a:effectLst/>
        </c:spPr>
      </c:pivotFmt>
      <c:pivotFmt>
        <c:idx val="63"/>
        <c:spPr>
          <a:solidFill>
            <a:srgbClr val="6C5200"/>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E2AC00"/>
          </a:solidFill>
          <a:ln>
            <a:noFill/>
          </a:ln>
          <a:effectLst/>
        </c:spPr>
      </c:pivotFmt>
      <c:pivotFmt>
        <c:idx val="66"/>
        <c:spPr>
          <a:solidFill>
            <a:srgbClr val="B88C00"/>
          </a:solidFill>
          <a:ln>
            <a:noFill/>
          </a:ln>
          <a:effectLst/>
        </c:spPr>
      </c:pivotFmt>
      <c:pivotFmt>
        <c:idx val="67"/>
        <c:spPr>
          <a:solidFill>
            <a:srgbClr val="967200"/>
          </a:solidFill>
          <a:ln>
            <a:noFill/>
          </a:ln>
          <a:effectLst/>
        </c:spPr>
      </c:pivotFmt>
      <c:pivotFmt>
        <c:idx val="68"/>
        <c:spPr>
          <a:solidFill>
            <a:srgbClr val="8E6C00"/>
          </a:solidFill>
          <a:ln>
            <a:noFill/>
          </a:ln>
          <a:effectLst/>
        </c:spPr>
      </c:pivotFmt>
      <c:pivotFmt>
        <c:idx val="69"/>
        <c:spPr>
          <a:solidFill>
            <a:srgbClr val="6C5200"/>
          </a:solidFill>
          <a:ln>
            <a:noFill/>
          </a:ln>
          <a:effectLst/>
        </c:spPr>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E2AC00"/>
          </a:solidFill>
          <a:ln>
            <a:noFill/>
          </a:ln>
          <a:effectLst/>
        </c:spPr>
      </c:pivotFmt>
      <c:pivotFmt>
        <c:idx val="72"/>
        <c:spPr>
          <a:solidFill>
            <a:srgbClr val="B88C00"/>
          </a:solidFill>
          <a:ln>
            <a:noFill/>
          </a:ln>
          <a:effectLst/>
        </c:spPr>
      </c:pivotFmt>
      <c:pivotFmt>
        <c:idx val="73"/>
        <c:spPr>
          <a:solidFill>
            <a:srgbClr val="967200"/>
          </a:solidFill>
          <a:ln>
            <a:noFill/>
          </a:ln>
          <a:effectLst/>
        </c:spPr>
      </c:pivotFmt>
      <c:pivotFmt>
        <c:idx val="74"/>
        <c:spPr>
          <a:solidFill>
            <a:srgbClr val="8E6C00"/>
          </a:solidFill>
          <a:ln>
            <a:noFill/>
          </a:ln>
          <a:effectLst/>
        </c:spPr>
      </c:pivotFmt>
      <c:pivotFmt>
        <c:idx val="75"/>
        <c:spPr>
          <a:solidFill>
            <a:srgbClr val="6C5200"/>
          </a:solidFill>
          <a:ln>
            <a:noFill/>
          </a:ln>
          <a:effectLst/>
        </c:spPr>
      </c:pivotFmt>
    </c:pivotFmts>
    <c:plotArea>
      <c:layout>
        <c:manualLayout>
          <c:layoutTarget val="inner"/>
          <c:xMode val="edge"/>
          <c:yMode val="edge"/>
          <c:x val="1.7343380341967404E-2"/>
          <c:y val="0.34309080229590239"/>
          <c:w val="0.95599393706731262"/>
          <c:h val="0.53698118417832152"/>
        </c:manualLayout>
      </c:layout>
      <c:barChart>
        <c:barDir val="col"/>
        <c:grouping val="clustered"/>
        <c:varyColors val="0"/>
        <c:ser>
          <c:idx val="0"/>
          <c:order val="0"/>
          <c:tx>
            <c:strRef>
              <c:f>'Predation Index vs. Total Sleep'!$B$3</c:f>
              <c:strCache>
                <c:ptCount val="1"/>
                <c:pt idx="0">
                  <c:v>Total</c:v>
                </c:pt>
              </c:strCache>
            </c:strRef>
          </c:tx>
          <c:spPr>
            <a:solidFill>
              <a:schemeClr val="accent1"/>
            </a:solidFill>
            <a:ln>
              <a:noFill/>
            </a:ln>
            <a:effectLst/>
          </c:spPr>
          <c:invertIfNegative val="0"/>
          <c:dPt>
            <c:idx val="0"/>
            <c:invertIfNegative val="0"/>
            <c:bubble3D val="0"/>
            <c:spPr>
              <a:solidFill>
                <a:srgbClr val="E2AC00"/>
              </a:solidFill>
              <a:ln>
                <a:noFill/>
              </a:ln>
              <a:effectLst/>
            </c:spPr>
            <c:extLst>
              <c:ext xmlns:c16="http://schemas.microsoft.com/office/drawing/2014/chart" uri="{C3380CC4-5D6E-409C-BE32-E72D297353CC}">
                <c16:uniqueId val="{00000001-DDAA-4AEE-B460-441ACCADF7C8}"/>
              </c:ext>
            </c:extLst>
          </c:dPt>
          <c:dPt>
            <c:idx val="1"/>
            <c:invertIfNegative val="0"/>
            <c:bubble3D val="0"/>
            <c:spPr>
              <a:solidFill>
                <a:srgbClr val="B88C00"/>
              </a:solidFill>
              <a:ln>
                <a:noFill/>
              </a:ln>
              <a:effectLst/>
            </c:spPr>
            <c:extLst>
              <c:ext xmlns:c16="http://schemas.microsoft.com/office/drawing/2014/chart" uri="{C3380CC4-5D6E-409C-BE32-E72D297353CC}">
                <c16:uniqueId val="{00000003-DDAA-4AEE-B460-441ACCADF7C8}"/>
              </c:ext>
            </c:extLst>
          </c:dPt>
          <c:dPt>
            <c:idx val="2"/>
            <c:invertIfNegative val="0"/>
            <c:bubble3D val="0"/>
            <c:spPr>
              <a:solidFill>
                <a:srgbClr val="967200"/>
              </a:solidFill>
              <a:ln>
                <a:noFill/>
              </a:ln>
              <a:effectLst/>
            </c:spPr>
            <c:extLst>
              <c:ext xmlns:c16="http://schemas.microsoft.com/office/drawing/2014/chart" uri="{C3380CC4-5D6E-409C-BE32-E72D297353CC}">
                <c16:uniqueId val="{00000005-DDAA-4AEE-B460-441ACCADF7C8}"/>
              </c:ext>
            </c:extLst>
          </c:dPt>
          <c:dPt>
            <c:idx val="3"/>
            <c:invertIfNegative val="0"/>
            <c:bubble3D val="0"/>
            <c:spPr>
              <a:solidFill>
                <a:srgbClr val="8E6C00"/>
              </a:solidFill>
              <a:ln>
                <a:noFill/>
              </a:ln>
              <a:effectLst/>
            </c:spPr>
            <c:extLst>
              <c:ext xmlns:c16="http://schemas.microsoft.com/office/drawing/2014/chart" uri="{C3380CC4-5D6E-409C-BE32-E72D297353CC}">
                <c16:uniqueId val="{00000007-DDAA-4AEE-B460-441ACCADF7C8}"/>
              </c:ext>
            </c:extLst>
          </c:dPt>
          <c:dPt>
            <c:idx val="4"/>
            <c:invertIfNegative val="0"/>
            <c:bubble3D val="0"/>
            <c:spPr>
              <a:solidFill>
                <a:srgbClr val="6C5200"/>
              </a:solidFill>
              <a:ln>
                <a:noFill/>
              </a:ln>
              <a:effectLst/>
            </c:spPr>
            <c:extLst>
              <c:ext xmlns:c16="http://schemas.microsoft.com/office/drawing/2014/chart" uri="{C3380CC4-5D6E-409C-BE32-E72D297353CC}">
                <c16:uniqueId val="{00000009-DDAA-4AEE-B460-441ACCADF7C8}"/>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'Predation Index vs. Total Sleep'!$A$4:$A$9</c:f>
              <c:strCache>
                <c:ptCount val="5"/>
                <c:pt idx="0">
                  <c:v>2</c:v>
                </c:pt>
                <c:pt idx="1">
                  <c:v>1</c:v>
                </c:pt>
                <c:pt idx="2">
                  <c:v>3</c:v>
                </c:pt>
                <c:pt idx="3">
                  <c:v>5</c:v>
                </c:pt>
                <c:pt idx="4">
                  <c:v>4</c:v>
                </c:pt>
              </c:strCache>
            </c:strRef>
          </c:cat>
          <c:val>
            <c:numRef>
              <c:f>'Predation Index vs. Total Sleep'!$B$4:$B$9</c:f>
              <c:numCache>
                <c:formatCode>General</c:formatCode>
                <c:ptCount val="5"/>
                <c:pt idx="0">
                  <c:v>190.79999999999998</c:v>
                </c:pt>
                <c:pt idx="1">
                  <c:v>168.70000000000002</c:v>
                </c:pt>
                <c:pt idx="2">
                  <c:v>91.2</c:v>
                </c:pt>
                <c:pt idx="3">
                  <c:v>88.6</c:v>
                </c:pt>
                <c:pt idx="4">
                  <c:v>71.599999999999994</c:v>
                </c:pt>
              </c:numCache>
            </c:numRef>
          </c:val>
          <c:extLst>
            <c:ext xmlns:c16="http://schemas.microsoft.com/office/drawing/2014/chart" uri="{C3380CC4-5D6E-409C-BE32-E72D297353CC}">
              <c16:uniqueId val="{0000000A-DDAA-4AEE-B460-441ACCADF7C8}"/>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b"/>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24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l"/>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400"/>
    </a:solidFill>
    <a:ln w="9525" cap="flat" cmpd="sng" algn="ctr">
      <a:solidFill>
        <a:srgbClr val="E2A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Report.xlsx]Body Weight vs Brain Weight!PivotTable1</c:name>
    <c:fmtId val="7"/>
  </c:pivotSource>
  <c:chart>
    <c:title>
      <c:tx>
        <c:rich>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r>
              <a:rPr lang="en-US" sz="1800" b="1">
                <a:solidFill>
                  <a:srgbClr val="E2AC00"/>
                </a:solidFill>
                <a:latin typeface="Bodoni MT" panose="02070603080606020203" pitchFamily="18" charset="0"/>
              </a:rPr>
              <a:t>Body</a:t>
            </a:r>
            <a:r>
              <a:rPr lang="en-US" sz="1800" b="1" baseline="0">
                <a:solidFill>
                  <a:srgbClr val="E2AC00"/>
                </a:solidFill>
                <a:latin typeface="Bodoni MT" panose="02070603080606020203" pitchFamily="18" charset="0"/>
              </a:rPr>
              <a:t> Weight vs. Brain Weight Analysis</a:t>
            </a:r>
            <a:endParaRPr lang="en-US"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2AC00"/>
          </a:solidFill>
          <a:ln>
            <a:noFill/>
          </a:ln>
          <a:effectLst/>
        </c:spPr>
      </c:pivotFmt>
      <c:pivotFmt>
        <c:idx val="2"/>
        <c:spPr>
          <a:solidFill>
            <a:srgbClr val="D2A000"/>
          </a:solidFill>
          <a:ln>
            <a:noFill/>
          </a:ln>
          <a:effectLst/>
        </c:spPr>
      </c:pivotFmt>
      <c:pivotFmt>
        <c:idx val="3"/>
        <c:spPr>
          <a:solidFill>
            <a:srgbClr val="BC8F00"/>
          </a:solidFill>
          <a:ln>
            <a:noFill/>
          </a:ln>
          <a:effectLst/>
        </c:spPr>
      </c:pivotFmt>
      <c:pivotFmt>
        <c:idx val="4"/>
        <c:spPr>
          <a:solidFill>
            <a:srgbClr val="B08600"/>
          </a:solidFill>
          <a:ln>
            <a:noFill/>
          </a:ln>
          <a:effectLst/>
        </c:spPr>
      </c:pivotFmt>
      <c:pivotFmt>
        <c:idx val="5"/>
        <c:spPr>
          <a:solidFill>
            <a:srgbClr val="A27B00"/>
          </a:solidFill>
          <a:ln>
            <a:noFill/>
          </a:ln>
          <a:effectLst/>
        </c:spPr>
      </c:pivotFmt>
      <c:pivotFmt>
        <c:idx val="6"/>
        <c:spPr>
          <a:solidFill>
            <a:srgbClr val="9E7800"/>
          </a:solidFill>
          <a:ln>
            <a:noFill/>
          </a:ln>
          <a:effectLst/>
        </c:spPr>
      </c:pivotFmt>
      <c:pivotFmt>
        <c:idx val="7"/>
        <c:spPr>
          <a:solidFill>
            <a:srgbClr val="8E6C00"/>
          </a:solidFill>
          <a:ln>
            <a:noFill/>
          </a:ln>
          <a:effectLst/>
        </c:spPr>
      </c:pivotFmt>
      <c:pivotFmt>
        <c:idx val="8"/>
        <c:spPr>
          <a:solidFill>
            <a:srgbClr val="826300"/>
          </a:solidFill>
          <a:ln>
            <a:noFill/>
          </a:ln>
          <a:effectLst/>
        </c:spPr>
      </c:pivotFmt>
      <c:pivotFmt>
        <c:idx val="9"/>
        <c:spPr>
          <a:solidFill>
            <a:srgbClr val="6C5200"/>
          </a:solidFill>
          <a:ln>
            <a:noFill/>
          </a:ln>
          <a:effectLst/>
        </c:spPr>
      </c:pivotFmt>
      <c:pivotFmt>
        <c:idx val="10"/>
        <c:spPr>
          <a:solidFill>
            <a:srgbClr val="745800"/>
          </a:solidFill>
          <a:ln>
            <a:noFill/>
          </a:ln>
          <a:effectLst/>
        </c:spPr>
      </c:pivotFmt>
    </c:pivotFmts>
    <c:plotArea>
      <c:layout>
        <c:manualLayout>
          <c:layoutTarget val="inner"/>
          <c:xMode val="edge"/>
          <c:yMode val="edge"/>
          <c:x val="0.18304356880336348"/>
          <c:y val="0.15679903730445249"/>
          <c:w val="0.72641556867578827"/>
          <c:h val="0.79907741676694743"/>
        </c:manualLayout>
      </c:layout>
      <c:barChart>
        <c:barDir val="bar"/>
        <c:grouping val="clustered"/>
        <c:varyColors val="0"/>
        <c:ser>
          <c:idx val="0"/>
          <c:order val="0"/>
          <c:tx>
            <c:strRef>
              <c:f>'Body Weight vs Brain Weight'!$B$3</c:f>
              <c:strCache>
                <c:ptCount val="1"/>
                <c:pt idx="0">
                  <c:v>Total</c:v>
                </c:pt>
              </c:strCache>
            </c:strRef>
          </c:tx>
          <c:spPr>
            <a:solidFill>
              <a:srgbClr val="253917"/>
            </a:solidFill>
            <a:ln>
              <a:noFill/>
            </a:ln>
            <a:effectLst/>
          </c:spPr>
          <c:invertIfNegative val="0"/>
          <c:dPt>
            <c:idx val="0"/>
            <c:invertIfNegative val="0"/>
            <c:bubble3D val="0"/>
            <c:spPr>
              <a:solidFill>
                <a:srgbClr val="6C5200"/>
              </a:solidFill>
              <a:ln>
                <a:noFill/>
              </a:ln>
              <a:effectLst/>
            </c:spPr>
            <c:extLst>
              <c:ext xmlns:c16="http://schemas.microsoft.com/office/drawing/2014/chart" uri="{C3380CC4-5D6E-409C-BE32-E72D297353CC}">
                <c16:uniqueId val="{0000000A-4060-4039-8EBA-62EB3D896162}"/>
              </c:ext>
            </c:extLst>
          </c:dPt>
          <c:dPt>
            <c:idx val="1"/>
            <c:invertIfNegative val="0"/>
            <c:bubble3D val="0"/>
            <c:spPr>
              <a:solidFill>
                <a:srgbClr val="745800"/>
              </a:solidFill>
              <a:ln>
                <a:noFill/>
              </a:ln>
              <a:effectLst/>
            </c:spPr>
            <c:extLst>
              <c:ext xmlns:c16="http://schemas.microsoft.com/office/drawing/2014/chart" uri="{C3380CC4-5D6E-409C-BE32-E72D297353CC}">
                <c16:uniqueId val="{0000000B-4060-4039-8EBA-62EB3D896162}"/>
              </c:ext>
            </c:extLst>
          </c:dPt>
          <c:dPt>
            <c:idx val="2"/>
            <c:invertIfNegative val="0"/>
            <c:bubble3D val="0"/>
            <c:spPr>
              <a:solidFill>
                <a:srgbClr val="826300"/>
              </a:solidFill>
              <a:ln>
                <a:noFill/>
              </a:ln>
              <a:effectLst/>
            </c:spPr>
            <c:extLst>
              <c:ext xmlns:c16="http://schemas.microsoft.com/office/drawing/2014/chart" uri="{C3380CC4-5D6E-409C-BE32-E72D297353CC}">
                <c16:uniqueId val="{00000009-4060-4039-8EBA-62EB3D896162}"/>
              </c:ext>
            </c:extLst>
          </c:dPt>
          <c:dPt>
            <c:idx val="3"/>
            <c:invertIfNegative val="0"/>
            <c:bubble3D val="0"/>
            <c:spPr>
              <a:solidFill>
                <a:srgbClr val="8E6C00"/>
              </a:solidFill>
              <a:ln>
                <a:noFill/>
              </a:ln>
              <a:effectLst/>
            </c:spPr>
            <c:extLst>
              <c:ext xmlns:c16="http://schemas.microsoft.com/office/drawing/2014/chart" uri="{C3380CC4-5D6E-409C-BE32-E72D297353CC}">
                <c16:uniqueId val="{00000008-4060-4039-8EBA-62EB3D896162}"/>
              </c:ext>
            </c:extLst>
          </c:dPt>
          <c:dPt>
            <c:idx val="4"/>
            <c:invertIfNegative val="0"/>
            <c:bubble3D val="0"/>
            <c:spPr>
              <a:solidFill>
                <a:srgbClr val="9E7800"/>
              </a:solidFill>
              <a:ln>
                <a:noFill/>
              </a:ln>
              <a:effectLst/>
            </c:spPr>
            <c:extLst>
              <c:ext xmlns:c16="http://schemas.microsoft.com/office/drawing/2014/chart" uri="{C3380CC4-5D6E-409C-BE32-E72D297353CC}">
                <c16:uniqueId val="{00000007-4060-4039-8EBA-62EB3D896162}"/>
              </c:ext>
            </c:extLst>
          </c:dPt>
          <c:dPt>
            <c:idx val="5"/>
            <c:invertIfNegative val="0"/>
            <c:bubble3D val="0"/>
            <c:spPr>
              <a:solidFill>
                <a:srgbClr val="A27B00"/>
              </a:solidFill>
              <a:ln>
                <a:noFill/>
              </a:ln>
              <a:effectLst/>
            </c:spPr>
            <c:extLst>
              <c:ext xmlns:c16="http://schemas.microsoft.com/office/drawing/2014/chart" uri="{C3380CC4-5D6E-409C-BE32-E72D297353CC}">
                <c16:uniqueId val="{00000006-4060-4039-8EBA-62EB3D896162}"/>
              </c:ext>
            </c:extLst>
          </c:dPt>
          <c:dPt>
            <c:idx val="6"/>
            <c:invertIfNegative val="0"/>
            <c:bubble3D val="0"/>
            <c:spPr>
              <a:solidFill>
                <a:srgbClr val="B08600"/>
              </a:solidFill>
              <a:ln>
                <a:noFill/>
              </a:ln>
              <a:effectLst/>
            </c:spPr>
            <c:extLst>
              <c:ext xmlns:c16="http://schemas.microsoft.com/office/drawing/2014/chart" uri="{C3380CC4-5D6E-409C-BE32-E72D297353CC}">
                <c16:uniqueId val="{00000005-4060-4039-8EBA-62EB3D896162}"/>
              </c:ext>
            </c:extLst>
          </c:dPt>
          <c:dPt>
            <c:idx val="7"/>
            <c:invertIfNegative val="0"/>
            <c:bubble3D val="0"/>
            <c:spPr>
              <a:solidFill>
                <a:srgbClr val="BC8F00"/>
              </a:solidFill>
              <a:ln>
                <a:noFill/>
              </a:ln>
              <a:effectLst/>
            </c:spPr>
            <c:extLst>
              <c:ext xmlns:c16="http://schemas.microsoft.com/office/drawing/2014/chart" uri="{C3380CC4-5D6E-409C-BE32-E72D297353CC}">
                <c16:uniqueId val="{00000004-4060-4039-8EBA-62EB3D896162}"/>
              </c:ext>
            </c:extLst>
          </c:dPt>
          <c:dPt>
            <c:idx val="8"/>
            <c:invertIfNegative val="0"/>
            <c:bubble3D val="0"/>
            <c:spPr>
              <a:solidFill>
                <a:srgbClr val="D2A000"/>
              </a:solidFill>
              <a:ln>
                <a:noFill/>
              </a:ln>
              <a:effectLst/>
            </c:spPr>
            <c:extLst>
              <c:ext xmlns:c16="http://schemas.microsoft.com/office/drawing/2014/chart" uri="{C3380CC4-5D6E-409C-BE32-E72D297353CC}">
                <c16:uniqueId val="{00000003-4060-4039-8EBA-62EB3D896162}"/>
              </c:ext>
            </c:extLst>
          </c:dPt>
          <c:dPt>
            <c:idx val="9"/>
            <c:invertIfNegative val="0"/>
            <c:bubble3D val="0"/>
            <c:spPr>
              <a:solidFill>
                <a:srgbClr val="E2AC00"/>
              </a:solidFill>
              <a:ln>
                <a:noFill/>
              </a:ln>
              <a:effectLst/>
            </c:spPr>
            <c:extLst>
              <c:ext xmlns:c16="http://schemas.microsoft.com/office/drawing/2014/chart" uri="{C3380CC4-5D6E-409C-BE32-E72D297353CC}">
                <c16:uniqueId val="{00000002-4060-4039-8EBA-62EB3D896162}"/>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 Weight vs Brain Weight'!$A$4:$A$14</c:f>
              <c:strCache>
                <c:ptCount val="10"/>
                <c:pt idx="0">
                  <c:v>207</c:v>
                </c:pt>
                <c:pt idx="1">
                  <c:v>187.1</c:v>
                </c:pt>
                <c:pt idx="2">
                  <c:v>465</c:v>
                </c:pt>
                <c:pt idx="3">
                  <c:v>52.16</c:v>
                </c:pt>
                <c:pt idx="4">
                  <c:v>250</c:v>
                </c:pt>
                <c:pt idx="5">
                  <c:v>521</c:v>
                </c:pt>
                <c:pt idx="6">
                  <c:v>529</c:v>
                </c:pt>
                <c:pt idx="7">
                  <c:v>62</c:v>
                </c:pt>
                <c:pt idx="8">
                  <c:v>2547</c:v>
                </c:pt>
                <c:pt idx="9">
                  <c:v>6654</c:v>
                </c:pt>
              </c:strCache>
            </c:strRef>
          </c:cat>
          <c:val>
            <c:numRef>
              <c:f>'Body Weight vs Brain Weight'!$B$4:$B$14</c:f>
              <c:numCache>
                <c:formatCode>General</c:formatCode>
                <c:ptCount val="10"/>
                <c:pt idx="0">
                  <c:v>406</c:v>
                </c:pt>
                <c:pt idx="1">
                  <c:v>419</c:v>
                </c:pt>
                <c:pt idx="2">
                  <c:v>423</c:v>
                </c:pt>
                <c:pt idx="3">
                  <c:v>440</c:v>
                </c:pt>
                <c:pt idx="4">
                  <c:v>490</c:v>
                </c:pt>
                <c:pt idx="5">
                  <c:v>655</c:v>
                </c:pt>
                <c:pt idx="6">
                  <c:v>680</c:v>
                </c:pt>
                <c:pt idx="7">
                  <c:v>1320</c:v>
                </c:pt>
                <c:pt idx="8">
                  <c:v>4603</c:v>
                </c:pt>
                <c:pt idx="9">
                  <c:v>5712</c:v>
                </c:pt>
              </c:numCache>
            </c:numRef>
          </c:val>
          <c:extLst>
            <c:ext xmlns:c16="http://schemas.microsoft.com/office/drawing/2014/chart" uri="{C3380CC4-5D6E-409C-BE32-E72D297353CC}">
              <c16:uniqueId val="{00000000-4060-4039-8EBA-62EB3D896162}"/>
            </c:ext>
          </c:extLst>
        </c:ser>
        <c:dLbls>
          <c:dLblPos val="outEnd"/>
          <c:showLegendKey val="0"/>
          <c:showVal val="1"/>
          <c:showCatName val="0"/>
          <c:showSerName val="0"/>
          <c:showPercent val="0"/>
          <c:showBubbleSize val="0"/>
        </c:dLbls>
        <c:gapWidth val="48"/>
        <c:overlap val="4"/>
        <c:axId val="1316317392"/>
        <c:axId val="1316305872"/>
      </c:barChart>
      <c:catAx>
        <c:axId val="1316317392"/>
        <c:scaling>
          <c:orientation val="minMax"/>
        </c:scaling>
        <c:delete val="0"/>
        <c:axPos val="l"/>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16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b"/>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Report.xlsx]Body Weight vs Life Span!PivotTable1</c:name>
    <c:fmtId val="12"/>
  </c:pivotSource>
  <c:chart>
    <c:title>
      <c:tx>
        <c:rich>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r>
              <a:rPr lang="en-US" sz="1800" b="1">
                <a:solidFill>
                  <a:srgbClr val="E2AC00"/>
                </a:solidFill>
                <a:latin typeface="Bodoni MT" panose="02070603080606020203" pitchFamily="18" charset="0"/>
              </a:rPr>
              <a:t>Body</a:t>
            </a:r>
            <a:r>
              <a:rPr lang="en-US" sz="1800" b="1" baseline="0">
                <a:solidFill>
                  <a:srgbClr val="E2AC00"/>
                </a:solidFill>
                <a:latin typeface="Bodoni MT" panose="02070603080606020203" pitchFamily="18" charset="0"/>
              </a:rPr>
              <a:t> Weight vs. Life Span Analysis</a:t>
            </a:r>
            <a:endParaRPr lang="en-US"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2AC00"/>
          </a:solidFill>
          <a:ln>
            <a:noFill/>
          </a:ln>
          <a:effectLst/>
        </c:spPr>
      </c:pivotFmt>
      <c:pivotFmt>
        <c:idx val="24"/>
        <c:spPr>
          <a:solidFill>
            <a:srgbClr val="BC8F00"/>
          </a:solidFill>
          <a:ln>
            <a:noFill/>
          </a:ln>
          <a:effectLst/>
        </c:spPr>
      </c:pivotFmt>
      <c:pivotFmt>
        <c:idx val="25"/>
        <c:spPr>
          <a:solidFill>
            <a:srgbClr val="B08600"/>
          </a:solidFill>
          <a:ln>
            <a:noFill/>
          </a:ln>
          <a:effectLst/>
        </c:spPr>
      </c:pivotFmt>
      <c:pivotFmt>
        <c:idx val="26"/>
        <c:spPr>
          <a:solidFill>
            <a:srgbClr val="A27B00"/>
          </a:solidFill>
          <a:ln>
            <a:noFill/>
          </a:ln>
          <a:effectLst/>
        </c:spPr>
      </c:pivotFmt>
      <c:pivotFmt>
        <c:idx val="27"/>
        <c:spPr>
          <a:solidFill>
            <a:srgbClr val="A47D00"/>
          </a:solidFill>
          <a:ln>
            <a:noFill/>
          </a:ln>
          <a:effectLst/>
        </c:spPr>
      </c:pivotFmt>
      <c:pivotFmt>
        <c:idx val="28"/>
        <c:spPr>
          <a:solidFill>
            <a:srgbClr val="9E7800"/>
          </a:solidFill>
          <a:ln>
            <a:noFill/>
          </a:ln>
          <a:effectLst/>
        </c:spPr>
      </c:pivotFmt>
      <c:pivotFmt>
        <c:idx val="29"/>
        <c:spPr>
          <a:solidFill>
            <a:srgbClr val="8E6C00"/>
          </a:solidFill>
          <a:ln>
            <a:noFill/>
          </a:ln>
          <a:effectLst/>
        </c:spPr>
      </c:pivotFmt>
      <c:pivotFmt>
        <c:idx val="30"/>
        <c:spPr>
          <a:solidFill>
            <a:srgbClr val="826300"/>
          </a:solidFill>
          <a:ln>
            <a:noFill/>
          </a:ln>
          <a:effectLst/>
        </c:spPr>
      </c:pivotFmt>
      <c:pivotFmt>
        <c:idx val="31"/>
        <c:spPr>
          <a:solidFill>
            <a:srgbClr val="745800"/>
          </a:solidFill>
          <a:ln>
            <a:noFill/>
          </a:ln>
          <a:effectLst/>
        </c:spPr>
      </c:pivotFmt>
      <c:pivotFmt>
        <c:idx val="32"/>
        <c:spPr>
          <a:solidFill>
            <a:srgbClr val="6C5200"/>
          </a:solidFill>
          <a:ln>
            <a:noFill/>
          </a:ln>
          <a:effectLst/>
        </c:spPr>
      </c:pivotFmt>
    </c:pivotFmts>
    <c:plotArea>
      <c:layout>
        <c:manualLayout>
          <c:layoutTarget val="inner"/>
          <c:xMode val="edge"/>
          <c:yMode val="edge"/>
          <c:x val="0.16398233458844808"/>
          <c:y val="0.15679903730445249"/>
          <c:w val="0.74547680289070373"/>
          <c:h val="0.79907741676694743"/>
        </c:manualLayout>
      </c:layout>
      <c:barChart>
        <c:barDir val="bar"/>
        <c:grouping val="clustered"/>
        <c:varyColors val="0"/>
        <c:ser>
          <c:idx val="0"/>
          <c:order val="0"/>
          <c:tx>
            <c:strRef>
              <c:f>'Body Weight vs Life Span'!$B$3</c:f>
              <c:strCache>
                <c:ptCount val="1"/>
                <c:pt idx="0">
                  <c:v>Total</c:v>
                </c:pt>
              </c:strCache>
            </c:strRef>
          </c:tx>
          <c:spPr>
            <a:solidFill>
              <a:schemeClr val="accent1"/>
            </a:solidFill>
            <a:ln>
              <a:noFill/>
            </a:ln>
            <a:effectLst/>
          </c:spPr>
          <c:invertIfNegative val="0"/>
          <c:dPt>
            <c:idx val="0"/>
            <c:invertIfNegative val="0"/>
            <c:bubble3D val="0"/>
            <c:spPr>
              <a:solidFill>
                <a:srgbClr val="6C5200"/>
              </a:solidFill>
              <a:ln>
                <a:noFill/>
              </a:ln>
              <a:effectLst/>
            </c:spPr>
            <c:extLst>
              <c:ext xmlns:c16="http://schemas.microsoft.com/office/drawing/2014/chart" uri="{C3380CC4-5D6E-409C-BE32-E72D297353CC}">
                <c16:uniqueId val="{00000020-B787-4384-A673-2C8D64C353A7}"/>
              </c:ext>
            </c:extLst>
          </c:dPt>
          <c:dPt>
            <c:idx val="1"/>
            <c:invertIfNegative val="0"/>
            <c:bubble3D val="0"/>
            <c:spPr>
              <a:solidFill>
                <a:srgbClr val="745800"/>
              </a:solidFill>
              <a:ln>
                <a:noFill/>
              </a:ln>
              <a:effectLst/>
            </c:spPr>
            <c:extLst>
              <c:ext xmlns:c16="http://schemas.microsoft.com/office/drawing/2014/chart" uri="{C3380CC4-5D6E-409C-BE32-E72D297353CC}">
                <c16:uniqueId val="{0000001F-B787-4384-A673-2C8D64C353A7}"/>
              </c:ext>
            </c:extLst>
          </c:dPt>
          <c:dPt>
            <c:idx val="2"/>
            <c:invertIfNegative val="0"/>
            <c:bubble3D val="0"/>
            <c:spPr>
              <a:solidFill>
                <a:srgbClr val="826300"/>
              </a:solidFill>
              <a:ln>
                <a:noFill/>
              </a:ln>
              <a:effectLst/>
            </c:spPr>
            <c:extLst>
              <c:ext xmlns:c16="http://schemas.microsoft.com/office/drawing/2014/chart" uri="{C3380CC4-5D6E-409C-BE32-E72D297353CC}">
                <c16:uniqueId val="{0000001E-B787-4384-A673-2C8D64C353A7}"/>
              </c:ext>
            </c:extLst>
          </c:dPt>
          <c:dPt>
            <c:idx val="3"/>
            <c:invertIfNegative val="0"/>
            <c:bubble3D val="0"/>
            <c:spPr>
              <a:solidFill>
                <a:srgbClr val="8E6C00"/>
              </a:solidFill>
              <a:ln>
                <a:noFill/>
              </a:ln>
              <a:effectLst/>
            </c:spPr>
            <c:extLst>
              <c:ext xmlns:c16="http://schemas.microsoft.com/office/drawing/2014/chart" uri="{C3380CC4-5D6E-409C-BE32-E72D297353CC}">
                <c16:uniqueId val="{0000001D-B787-4384-A673-2C8D64C353A7}"/>
              </c:ext>
            </c:extLst>
          </c:dPt>
          <c:dPt>
            <c:idx val="4"/>
            <c:invertIfNegative val="0"/>
            <c:bubble3D val="0"/>
            <c:spPr>
              <a:solidFill>
                <a:srgbClr val="9E7800"/>
              </a:solidFill>
              <a:ln>
                <a:noFill/>
              </a:ln>
              <a:effectLst/>
            </c:spPr>
            <c:extLst>
              <c:ext xmlns:c16="http://schemas.microsoft.com/office/drawing/2014/chart" uri="{C3380CC4-5D6E-409C-BE32-E72D297353CC}">
                <c16:uniqueId val="{0000001C-B787-4384-A673-2C8D64C353A7}"/>
              </c:ext>
            </c:extLst>
          </c:dPt>
          <c:dPt>
            <c:idx val="5"/>
            <c:invertIfNegative val="0"/>
            <c:bubble3D val="0"/>
            <c:spPr>
              <a:solidFill>
                <a:srgbClr val="A47D00"/>
              </a:solidFill>
              <a:ln>
                <a:noFill/>
              </a:ln>
              <a:effectLst/>
            </c:spPr>
            <c:extLst>
              <c:ext xmlns:c16="http://schemas.microsoft.com/office/drawing/2014/chart" uri="{C3380CC4-5D6E-409C-BE32-E72D297353CC}">
                <c16:uniqueId val="{0000001B-B787-4384-A673-2C8D64C353A7}"/>
              </c:ext>
            </c:extLst>
          </c:dPt>
          <c:dPt>
            <c:idx val="6"/>
            <c:invertIfNegative val="0"/>
            <c:bubble3D val="0"/>
            <c:spPr>
              <a:solidFill>
                <a:srgbClr val="A27B00"/>
              </a:solidFill>
              <a:ln>
                <a:noFill/>
              </a:ln>
              <a:effectLst/>
            </c:spPr>
            <c:extLst>
              <c:ext xmlns:c16="http://schemas.microsoft.com/office/drawing/2014/chart" uri="{C3380CC4-5D6E-409C-BE32-E72D297353CC}">
                <c16:uniqueId val="{0000001A-B787-4384-A673-2C8D64C353A7}"/>
              </c:ext>
            </c:extLst>
          </c:dPt>
          <c:dPt>
            <c:idx val="7"/>
            <c:invertIfNegative val="0"/>
            <c:bubble3D val="0"/>
            <c:spPr>
              <a:solidFill>
                <a:srgbClr val="B08600"/>
              </a:solidFill>
              <a:ln>
                <a:noFill/>
              </a:ln>
              <a:effectLst/>
            </c:spPr>
            <c:extLst>
              <c:ext xmlns:c16="http://schemas.microsoft.com/office/drawing/2014/chart" uri="{C3380CC4-5D6E-409C-BE32-E72D297353CC}">
                <c16:uniqueId val="{00000019-B787-4384-A673-2C8D64C353A7}"/>
              </c:ext>
            </c:extLst>
          </c:dPt>
          <c:dPt>
            <c:idx val="8"/>
            <c:invertIfNegative val="0"/>
            <c:bubble3D val="0"/>
            <c:spPr>
              <a:solidFill>
                <a:srgbClr val="BC8F00"/>
              </a:solidFill>
              <a:ln>
                <a:noFill/>
              </a:ln>
              <a:effectLst/>
            </c:spPr>
            <c:extLst>
              <c:ext xmlns:c16="http://schemas.microsoft.com/office/drawing/2014/chart" uri="{C3380CC4-5D6E-409C-BE32-E72D297353CC}">
                <c16:uniqueId val="{00000018-B787-4384-A673-2C8D64C353A7}"/>
              </c:ext>
            </c:extLst>
          </c:dPt>
          <c:dPt>
            <c:idx val="9"/>
            <c:invertIfNegative val="0"/>
            <c:bubble3D val="0"/>
            <c:spPr>
              <a:solidFill>
                <a:srgbClr val="E2AC00"/>
              </a:solidFill>
              <a:ln>
                <a:noFill/>
              </a:ln>
              <a:effectLst/>
            </c:spPr>
            <c:extLst>
              <c:ext xmlns:c16="http://schemas.microsoft.com/office/drawing/2014/chart" uri="{C3380CC4-5D6E-409C-BE32-E72D297353CC}">
                <c16:uniqueId val="{00000017-B787-4384-A673-2C8D64C353A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'Body Weight vs Life Span'!$A$4:$A$14</c:f>
              <c:strCache>
                <c:ptCount val="10"/>
                <c:pt idx="0">
                  <c:v>1.41</c:v>
                </c:pt>
                <c:pt idx="1">
                  <c:v>6654</c:v>
                </c:pt>
                <c:pt idx="2">
                  <c:v>207</c:v>
                </c:pt>
                <c:pt idx="3">
                  <c:v>187.1</c:v>
                </c:pt>
                <c:pt idx="4">
                  <c:v>85</c:v>
                </c:pt>
                <c:pt idx="5">
                  <c:v>521</c:v>
                </c:pt>
                <c:pt idx="6">
                  <c:v>52.16</c:v>
                </c:pt>
                <c:pt idx="7">
                  <c:v>3</c:v>
                </c:pt>
                <c:pt idx="8">
                  <c:v>2547</c:v>
                </c:pt>
                <c:pt idx="9">
                  <c:v>62</c:v>
                </c:pt>
              </c:strCache>
            </c:strRef>
          </c:cat>
          <c:val>
            <c:numRef>
              <c:f>'Body Weight vs Life Span'!$B$4:$B$14</c:f>
              <c:numCache>
                <c:formatCode>General</c:formatCode>
                <c:ptCount val="10"/>
                <c:pt idx="0">
                  <c:v>34</c:v>
                </c:pt>
                <c:pt idx="1">
                  <c:v>38.6</c:v>
                </c:pt>
                <c:pt idx="2">
                  <c:v>39.299999999999997</c:v>
                </c:pt>
                <c:pt idx="3">
                  <c:v>40</c:v>
                </c:pt>
                <c:pt idx="4">
                  <c:v>41</c:v>
                </c:pt>
                <c:pt idx="5">
                  <c:v>46</c:v>
                </c:pt>
                <c:pt idx="6">
                  <c:v>50</c:v>
                </c:pt>
                <c:pt idx="7">
                  <c:v>50</c:v>
                </c:pt>
                <c:pt idx="8">
                  <c:v>69</c:v>
                </c:pt>
                <c:pt idx="9">
                  <c:v>100</c:v>
                </c:pt>
              </c:numCache>
            </c:numRef>
          </c:val>
          <c:extLst>
            <c:ext xmlns:c16="http://schemas.microsoft.com/office/drawing/2014/chart" uri="{C3380CC4-5D6E-409C-BE32-E72D297353CC}">
              <c16:uniqueId val="{00000015-B787-4384-A673-2C8D64C353A7}"/>
            </c:ext>
          </c:extLst>
        </c:ser>
        <c:dLbls>
          <c:dLblPos val="outEnd"/>
          <c:showLegendKey val="0"/>
          <c:showVal val="1"/>
          <c:showCatName val="0"/>
          <c:showSerName val="0"/>
          <c:showPercent val="0"/>
          <c:showBubbleSize val="0"/>
        </c:dLbls>
        <c:gapWidth val="48"/>
        <c:overlap val="4"/>
        <c:axId val="1316317392"/>
        <c:axId val="1316305872"/>
      </c:barChart>
      <c:catAx>
        <c:axId val="1316317392"/>
        <c:scaling>
          <c:orientation val="minMax"/>
        </c:scaling>
        <c:delete val="0"/>
        <c:axPos val="l"/>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16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b"/>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Report.xlsx]Gestation Time vs Life Span!PivotTable1</c:name>
    <c:fmtId val="13"/>
  </c:pivotSource>
  <c:chart>
    <c:title>
      <c:tx>
        <c:rich>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r>
              <a:rPr lang="en-US" sz="1800" b="1">
                <a:solidFill>
                  <a:srgbClr val="E2AC00"/>
                </a:solidFill>
                <a:latin typeface="Bodoni MT" panose="02070603080606020203" pitchFamily="18" charset="0"/>
              </a:rPr>
              <a:t>Gestation Time </a:t>
            </a:r>
            <a:r>
              <a:rPr lang="en-US" sz="1800" b="1" baseline="0">
                <a:solidFill>
                  <a:srgbClr val="E2AC00"/>
                </a:solidFill>
                <a:latin typeface="Bodoni MT" panose="02070603080606020203" pitchFamily="18" charset="0"/>
              </a:rPr>
              <a:t>vs. Life Span Analysis</a:t>
            </a:r>
            <a:endParaRPr lang="en-US"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E2AC00"/>
          </a:solidFill>
          <a:ln>
            <a:noFill/>
          </a:ln>
          <a:effectLst/>
        </c:spPr>
      </c:pivotFmt>
      <c:pivotFmt>
        <c:idx val="46"/>
        <c:spPr>
          <a:solidFill>
            <a:srgbClr val="745800"/>
          </a:solidFill>
          <a:ln>
            <a:noFill/>
          </a:ln>
          <a:effectLst/>
        </c:spPr>
      </c:pivotFmt>
      <c:pivotFmt>
        <c:idx val="47"/>
        <c:spPr>
          <a:solidFill>
            <a:srgbClr val="826300"/>
          </a:solidFill>
          <a:ln>
            <a:noFill/>
          </a:ln>
          <a:effectLst/>
        </c:spPr>
      </c:pivotFmt>
      <c:pivotFmt>
        <c:idx val="48"/>
        <c:spPr>
          <a:solidFill>
            <a:srgbClr val="8E6C00"/>
          </a:solidFill>
          <a:ln>
            <a:noFill/>
          </a:ln>
          <a:effectLst/>
        </c:spPr>
      </c:pivotFmt>
      <c:pivotFmt>
        <c:idx val="49"/>
        <c:spPr>
          <a:solidFill>
            <a:srgbClr val="9E7800"/>
          </a:solidFill>
          <a:ln>
            <a:noFill/>
          </a:ln>
          <a:effectLst/>
        </c:spPr>
      </c:pivotFmt>
      <c:pivotFmt>
        <c:idx val="50"/>
        <c:spPr>
          <a:solidFill>
            <a:srgbClr val="A47D00"/>
          </a:solidFill>
          <a:ln>
            <a:noFill/>
          </a:ln>
          <a:effectLst/>
        </c:spPr>
      </c:pivotFmt>
      <c:pivotFmt>
        <c:idx val="51"/>
        <c:spPr>
          <a:solidFill>
            <a:srgbClr val="A27B00"/>
          </a:solidFill>
          <a:ln>
            <a:noFill/>
          </a:ln>
          <a:effectLst/>
        </c:spPr>
      </c:pivotFmt>
      <c:pivotFmt>
        <c:idx val="52"/>
        <c:spPr>
          <a:solidFill>
            <a:srgbClr val="B08600"/>
          </a:solidFill>
          <a:ln>
            <a:noFill/>
          </a:ln>
          <a:effectLst/>
        </c:spPr>
      </c:pivotFmt>
      <c:pivotFmt>
        <c:idx val="53"/>
        <c:spPr>
          <a:solidFill>
            <a:srgbClr val="BC8F00"/>
          </a:solidFill>
          <a:ln>
            <a:noFill/>
          </a:ln>
          <a:effectLst/>
        </c:spPr>
      </c:pivotFmt>
    </c:pivotFmts>
    <c:plotArea>
      <c:layout>
        <c:manualLayout>
          <c:layoutTarget val="inner"/>
          <c:xMode val="edge"/>
          <c:yMode val="edge"/>
          <c:x val="0.13777313754293938"/>
          <c:y val="0.15679903730445249"/>
          <c:w val="0.77168599993621234"/>
          <c:h val="0.79907741676694743"/>
        </c:manualLayout>
      </c:layout>
      <c:barChart>
        <c:barDir val="bar"/>
        <c:grouping val="clustered"/>
        <c:varyColors val="0"/>
        <c:ser>
          <c:idx val="0"/>
          <c:order val="0"/>
          <c:tx>
            <c:strRef>
              <c:f>'Gestation Time vs Life Span'!$B$3</c:f>
              <c:strCache>
                <c:ptCount val="1"/>
                <c:pt idx="0">
                  <c:v>Total</c:v>
                </c:pt>
              </c:strCache>
            </c:strRef>
          </c:tx>
          <c:spPr>
            <a:solidFill>
              <a:schemeClr val="accent1"/>
            </a:solidFill>
            <a:ln>
              <a:noFill/>
            </a:ln>
            <a:effectLst/>
          </c:spPr>
          <c:invertIfNegative val="0"/>
          <c:dPt>
            <c:idx val="0"/>
            <c:invertIfNegative val="0"/>
            <c:bubble3D val="0"/>
            <c:spPr>
              <a:solidFill>
                <a:srgbClr val="E2AC00"/>
              </a:solidFill>
              <a:ln>
                <a:noFill/>
              </a:ln>
              <a:effectLst/>
            </c:spPr>
            <c:extLst>
              <c:ext xmlns:c16="http://schemas.microsoft.com/office/drawing/2014/chart" uri="{C3380CC4-5D6E-409C-BE32-E72D297353CC}">
                <c16:uniqueId val="{00000017-C929-4B66-B327-80EDEDEAEA85}"/>
              </c:ext>
            </c:extLst>
          </c:dPt>
          <c:dPt>
            <c:idx val="1"/>
            <c:invertIfNegative val="0"/>
            <c:bubble3D val="0"/>
            <c:spPr>
              <a:solidFill>
                <a:srgbClr val="745800"/>
              </a:solidFill>
              <a:ln>
                <a:noFill/>
              </a:ln>
              <a:effectLst/>
            </c:spPr>
            <c:extLst>
              <c:ext xmlns:c16="http://schemas.microsoft.com/office/drawing/2014/chart" uri="{C3380CC4-5D6E-409C-BE32-E72D297353CC}">
                <c16:uniqueId val="{00000018-C929-4B66-B327-80EDEDEAEA85}"/>
              </c:ext>
            </c:extLst>
          </c:dPt>
          <c:dPt>
            <c:idx val="2"/>
            <c:invertIfNegative val="0"/>
            <c:bubble3D val="0"/>
            <c:spPr>
              <a:solidFill>
                <a:srgbClr val="826300"/>
              </a:solidFill>
              <a:ln>
                <a:noFill/>
              </a:ln>
              <a:effectLst/>
            </c:spPr>
            <c:extLst>
              <c:ext xmlns:c16="http://schemas.microsoft.com/office/drawing/2014/chart" uri="{C3380CC4-5D6E-409C-BE32-E72D297353CC}">
                <c16:uniqueId val="{00000019-C929-4B66-B327-80EDEDEAEA85}"/>
              </c:ext>
            </c:extLst>
          </c:dPt>
          <c:dPt>
            <c:idx val="3"/>
            <c:invertIfNegative val="0"/>
            <c:bubble3D val="0"/>
            <c:spPr>
              <a:solidFill>
                <a:srgbClr val="8E6C00"/>
              </a:solidFill>
              <a:ln>
                <a:noFill/>
              </a:ln>
              <a:effectLst/>
            </c:spPr>
            <c:extLst>
              <c:ext xmlns:c16="http://schemas.microsoft.com/office/drawing/2014/chart" uri="{C3380CC4-5D6E-409C-BE32-E72D297353CC}">
                <c16:uniqueId val="{0000001A-C929-4B66-B327-80EDEDEAEA85}"/>
              </c:ext>
            </c:extLst>
          </c:dPt>
          <c:dPt>
            <c:idx val="4"/>
            <c:invertIfNegative val="0"/>
            <c:bubble3D val="0"/>
            <c:spPr>
              <a:solidFill>
                <a:srgbClr val="9E7800"/>
              </a:solidFill>
              <a:ln>
                <a:noFill/>
              </a:ln>
              <a:effectLst/>
            </c:spPr>
            <c:extLst>
              <c:ext xmlns:c16="http://schemas.microsoft.com/office/drawing/2014/chart" uri="{C3380CC4-5D6E-409C-BE32-E72D297353CC}">
                <c16:uniqueId val="{0000001B-C929-4B66-B327-80EDEDEAEA85}"/>
              </c:ext>
            </c:extLst>
          </c:dPt>
          <c:dPt>
            <c:idx val="5"/>
            <c:invertIfNegative val="0"/>
            <c:bubble3D val="0"/>
            <c:spPr>
              <a:solidFill>
                <a:srgbClr val="A47D00"/>
              </a:solidFill>
              <a:ln>
                <a:noFill/>
              </a:ln>
              <a:effectLst/>
            </c:spPr>
            <c:extLst>
              <c:ext xmlns:c16="http://schemas.microsoft.com/office/drawing/2014/chart" uri="{C3380CC4-5D6E-409C-BE32-E72D297353CC}">
                <c16:uniqueId val="{0000001C-C929-4B66-B327-80EDEDEAEA85}"/>
              </c:ext>
            </c:extLst>
          </c:dPt>
          <c:dPt>
            <c:idx val="6"/>
            <c:invertIfNegative val="0"/>
            <c:bubble3D val="0"/>
            <c:spPr>
              <a:solidFill>
                <a:srgbClr val="A27B00"/>
              </a:solidFill>
              <a:ln>
                <a:noFill/>
              </a:ln>
              <a:effectLst/>
            </c:spPr>
            <c:extLst>
              <c:ext xmlns:c16="http://schemas.microsoft.com/office/drawing/2014/chart" uri="{C3380CC4-5D6E-409C-BE32-E72D297353CC}">
                <c16:uniqueId val="{0000001D-C929-4B66-B327-80EDEDEAEA85}"/>
              </c:ext>
            </c:extLst>
          </c:dPt>
          <c:dPt>
            <c:idx val="7"/>
            <c:invertIfNegative val="0"/>
            <c:bubble3D val="0"/>
            <c:spPr>
              <a:solidFill>
                <a:srgbClr val="B08600"/>
              </a:solidFill>
              <a:ln>
                <a:noFill/>
              </a:ln>
              <a:effectLst/>
            </c:spPr>
            <c:extLst>
              <c:ext xmlns:c16="http://schemas.microsoft.com/office/drawing/2014/chart" uri="{C3380CC4-5D6E-409C-BE32-E72D297353CC}">
                <c16:uniqueId val="{0000001E-C929-4B66-B327-80EDEDEAEA85}"/>
              </c:ext>
            </c:extLst>
          </c:dPt>
          <c:dPt>
            <c:idx val="8"/>
            <c:invertIfNegative val="0"/>
            <c:bubble3D val="0"/>
            <c:spPr>
              <a:solidFill>
                <a:srgbClr val="BC8F00"/>
              </a:solidFill>
              <a:ln>
                <a:noFill/>
              </a:ln>
              <a:effectLst/>
            </c:spPr>
            <c:extLst>
              <c:ext xmlns:c16="http://schemas.microsoft.com/office/drawing/2014/chart" uri="{C3380CC4-5D6E-409C-BE32-E72D297353CC}">
                <c16:uniqueId val="{0000001F-C929-4B66-B327-80EDEDEAEA85}"/>
              </c:ext>
            </c:extLst>
          </c:dPt>
          <c:dPt>
            <c:idx val="9"/>
            <c:invertIfNegative val="0"/>
            <c:bubble3D val="0"/>
            <c:spPr>
              <a:solidFill>
                <a:srgbClr val="E2AC00"/>
              </a:solidFill>
              <a:ln>
                <a:noFill/>
              </a:ln>
              <a:effectLst/>
            </c:spPr>
            <c:extLst>
              <c:ext xmlns:c16="http://schemas.microsoft.com/office/drawing/2014/chart" uri="{C3380CC4-5D6E-409C-BE32-E72D297353CC}">
                <c16:uniqueId val="{00000020-C929-4B66-B327-80EDEDEAEA8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'Gestation Time vs Life Span'!$A$4:$A$14</c:f>
              <c:strCache>
                <c:ptCount val="10"/>
                <c:pt idx="0">
                  <c:v>100</c:v>
                </c:pt>
                <c:pt idx="1">
                  <c:v>30</c:v>
                </c:pt>
                <c:pt idx="2">
                  <c:v>41</c:v>
                </c:pt>
                <c:pt idx="3">
                  <c:v>46</c:v>
                </c:pt>
                <c:pt idx="4">
                  <c:v>40</c:v>
                </c:pt>
                <c:pt idx="5">
                  <c:v>30.4</c:v>
                </c:pt>
                <c:pt idx="6">
                  <c:v>28</c:v>
                </c:pt>
                <c:pt idx="7">
                  <c:v>23.6</c:v>
                </c:pt>
                <c:pt idx="8">
                  <c:v>69</c:v>
                </c:pt>
                <c:pt idx="9">
                  <c:v>38.6</c:v>
                </c:pt>
              </c:strCache>
            </c:strRef>
          </c:cat>
          <c:val>
            <c:numRef>
              <c:f>'Gestation Time vs Life Span'!$B$4:$B$14</c:f>
              <c:numCache>
                <c:formatCode>General</c:formatCode>
                <c:ptCount val="10"/>
                <c:pt idx="0">
                  <c:v>267</c:v>
                </c:pt>
                <c:pt idx="1">
                  <c:v>281</c:v>
                </c:pt>
                <c:pt idx="2">
                  <c:v>310</c:v>
                </c:pt>
                <c:pt idx="3">
                  <c:v>336</c:v>
                </c:pt>
                <c:pt idx="4">
                  <c:v>365</c:v>
                </c:pt>
                <c:pt idx="5">
                  <c:v>392</c:v>
                </c:pt>
                <c:pt idx="6">
                  <c:v>400</c:v>
                </c:pt>
                <c:pt idx="7">
                  <c:v>440</c:v>
                </c:pt>
                <c:pt idx="8">
                  <c:v>624</c:v>
                </c:pt>
                <c:pt idx="9">
                  <c:v>645</c:v>
                </c:pt>
              </c:numCache>
            </c:numRef>
          </c:val>
          <c:extLst>
            <c:ext xmlns:c16="http://schemas.microsoft.com/office/drawing/2014/chart" uri="{C3380CC4-5D6E-409C-BE32-E72D297353CC}">
              <c16:uniqueId val="{00000015-C929-4B66-B327-80EDEDEAEA85}"/>
            </c:ext>
          </c:extLst>
        </c:ser>
        <c:dLbls>
          <c:dLblPos val="outEnd"/>
          <c:showLegendKey val="0"/>
          <c:showVal val="1"/>
          <c:showCatName val="0"/>
          <c:showSerName val="0"/>
          <c:showPercent val="0"/>
          <c:showBubbleSize val="0"/>
        </c:dLbls>
        <c:gapWidth val="48"/>
        <c:overlap val="4"/>
        <c:axId val="1316317392"/>
        <c:axId val="1316305872"/>
      </c:barChart>
      <c:catAx>
        <c:axId val="1316317392"/>
        <c:scaling>
          <c:orientation val="minMax"/>
        </c:scaling>
        <c:delete val="0"/>
        <c:axPos val="l"/>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16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b"/>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Report.xlsx]Predation Index vs. Total Sleep!PivotTable1</c:name>
    <c:fmtId val="14"/>
  </c:pivotSource>
  <c:chart>
    <c:title>
      <c:tx>
        <c:rich>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r>
              <a:rPr lang="en-US" sz="1800" b="1" baseline="0">
                <a:solidFill>
                  <a:srgbClr val="E2AC00"/>
                </a:solidFill>
                <a:latin typeface="Bodoni MT" panose="02070603080606020203" pitchFamily="18" charset="0"/>
              </a:rPr>
              <a:t>Predation Index vs. Total Sleep Analysis</a:t>
            </a:r>
            <a:endParaRPr lang="en-US"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E2AC00"/>
          </a:solidFill>
          <a:ln>
            <a:noFill/>
          </a:ln>
          <a:effectLst/>
        </c:spPr>
      </c:pivotFmt>
      <c:pivotFmt>
        <c:idx val="48"/>
        <c:spPr>
          <a:solidFill>
            <a:srgbClr val="B88C00"/>
          </a:solidFill>
          <a:ln>
            <a:noFill/>
          </a:ln>
          <a:effectLst/>
        </c:spPr>
      </c:pivotFmt>
      <c:pivotFmt>
        <c:idx val="49"/>
        <c:spPr>
          <a:solidFill>
            <a:srgbClr val="967200"/>
          </a:solidFill>
          <a:ln>
            <a:noFill/>
          </a:ln>
          <a:effectLst/>
        </c:spPr>
      </c:pivotFmt>
      <c:pivotFmt>
        <c:idx val="50"/>
        <c:spPr>
          <a:solidFill>
            <a:srgbClr val="8E6C00"/>
          </a:solidFill>
          <a:ln>
            <a:noFill/>
          </a:ln>
          <a:effectLst/>
        </c:spPr>
      </c:pivotFmt>
      <c:pivotFmt>
        <c:idx val="51"/>
        <c:spPr>
          <a:solidFill>
            <a:srgbClr val="6C5200"/>
          </a:solidFill>
          <a:ln>
            <a:noFill/>
          </a:ln>
          <a:effectLst/>
        </c:spPr>
      </c:pivotFmt>
    </c:pivotFmts>
    <c:plotArea>
      <c:layout>
        <c:manualLayout>
          <c:layoutTarget val="inner"/>
          <c:xMode val="edge"/>
          <c:yMode val="edge"/>
          <c:x val="7.82067806213287E-2"/>
          <c:y val="0.15679903730445249"/>
          <c:w val="0.83125235685782306"/>
          <c:h val="0.72118217365686432"/>
        </c:manualLayout>
      </c:layout>
      <c:barChart>
        <c:barDir val="col"/>
        <c:grouping val="clustered"/>
        <c:varyColors val="0"/>
        <c:ser>
          <c:idx val="0"/>
          <c:order val="0"/>
          <c:tx>
            <c:strRef>
              <c:f>'Predation Index vs. Total Sleep'!$B$3</c:f>
              <c:strCache>
                <c:ptCount val="1"/>
                <c:pt idx="0">
                  <c:v>Total</c:v>
                </c:pt>
              </c:strCache>
            </c:strRef>
          </c:tx>
          <c:spPr>
            <a:solidFill>
              <a:schemeClr val="accent1"/>
            </a:solidFill>
            <a:ln>
              <a:noFill/>
            </a:ln>
            <a:effectLst/>
          </c:spPr>
          <c:invertIfNegative val="0"/>
          <c:dPt>
            <c:idx val="0"/>
            <c:invertIfNegative val="0"/>
            <c:bubble3D val="0"/>
            <c:spPr>
              <a:solidFill>
                <a:srgbClr val="E2AC00"/>
              </a:solidFill>
              <a:ln>
                <a:noFill/>
              </a:ln>
              <a:effectLst/>
            </c:spPr>
            <c:extLst>
              <c:ext xmlns:c16="http://schemas.microsoft.com/office/drawing/2014/chart" uri="{C3380CC4-5D6E-409C-BE32-E72D297353CC}">
                <c16:uniqueId val="{00000003-133C-4AA4-BDAE-04EC1B265C89}"/>
              </c:ext>
            </c:extLst>
          </c:dPt>
          <c:dPt>
            <c:idx val="1"/>
            <c:invertIfNegative val="0"/>
            <c:bubble3D val="0"/>
            <c:spPr>
              <a:solidFill>
                <a:srgbClr val="B88C00"/>
              </a:solidFill>
              <a:ln>
                <a:noFill/>
              </a:ln>
              <a:effectLst/>
            </c:spPr>
            <c:extLst>
              <c:ext xmlns:c16="http://schemas.microsoft.com/office/drawing/2014/chart" uri="{C3380CC4-5D6E-409C-BE32-E72D297353CC}">
                <c16:uniqueId val="{00000004-133C-4AA4-BDAE-04EC1B265C89}"/>
              </c:ext>
            </c:extLst>
          </c:dPt>
          <c:dPt>
            <c:idx val="2"/>
            <c:invertIfNegative val="0"/>
            <c:bubble3D val="0"/>
            <c:spPr>
              <a:solidFill>
                <a:srgbClr val="967200"/>
              </a:solidFill>
              <a:ln>
                <a:noFill/>
              </a:ln>
              <a:effectLst/>
            </c:spPr>
            <c:extLst>
              <c:ext xmlns:c16="http://schemas.microsoft.com/office/drawing/2014/chart" uri="{C3380CC4-5D6E-409C-BE32-E72D297353CC}">
                <c16:uniqueId val="{00000005-133C-4AA4-BDAE-04EC1B265C89}"/>
              </c:ext>
            </c:extLst>
          </c:dPt>
          <c:dPt>
            <c:idx val="3"/>
            <c:invertIfNegative val="0"/>
            <c:bubble3D val="0"/>
            <c:spPr>
              <a:solidFill>
                <a:srgbClr val="8E6C00"/>
              </a:solidFill>
              <a:ln>
                <a:noFill/>
              </a:ln>
              <a:effectLst/>
            </c:spPr>
            <c:extLst>
              <c:ext xmlns:c16="http://schemas.microsoft.com/office/drawing/2014/chart" uri="{C3380CC4-5D6E-409C-BE32-E72D297353CC}">
                <c16:uniqueId val="{00000006-133C-4AA4-BDAE-04EC1B265C89}"/>
              </c:ext>
            </c:extLst>
          </c:dPt>
          <c:dPt>
            <c:idx val="4"/>
            <c:invertIfNegative val="0"/>
            <c:bubble3D val="0"/>
            <c:spPr>
              <a:solidFill>
                <a:srgbClr val="6C5200"/>
              </a:solidFill>
              <a:ln>
                <a:noFill/>
              </a:ln>
              <a:effectLst/>
            </c:spPr>
            <c:extLst>
              <c:ext xmlns:c16="http://schemas.microsoft.com/office/drawing/2014/chart" uri="{C3380CC4-5D6E-409C-BE32-E72D297353CC}">
                <c16:uniqueId val="{00000007-133C-4AA4-BDAE-04EC1B265C89}"/>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'Predation Index vs. Total Sleep'!$A$4:$A$9</c:f>
              <c:strCache>
                <c:ptCount val="5"/>
                <c:pt idx="0">
                  <c:v>2</c:v>
                </c:pt>
                <c:pt idx="1">
                  <c:v>1</c:v>
                </c:pt>
                <c:pt idx="2">
                  <c:v>3</c:v>
                </c:pt>
                <c:pt idx="3">
                  <c:v>5</c:v>
                </c:pt>
                <c:pt idx="4">
                  <c:v>4</c:v>
                </c:pt>
              </c:strCache>
            </c:strRef>
          </c:cat>
          <c:val>
            <c:numRef>
              <c:f>'Predation Index vs. Total Sleep'!$B$4:$B$9</c:f>
              <c:numCache>
                <c:formatCode>General</c:formatCode>
                <c:ptCount val="5"/>
                <c:pt idx="0">
                  <c:v>190.79999999999998</c:v>
                </c:pt>
                <c:pt idx="1">
                  <c:v>168.70000000000002</c:v>
                </c:pt>
                <c:pt idx="2">
                  <c:v>91.2</c:v>
                </c:pt>
                <c:pt idx="3">
                  <c:v>88.6</c:v>
                </c:pt>
                <c:pt idx="4">
                  <c:v>71.599999999999994</c:v>
                </c:pt>
              </c:numCache>
            </c:numRef>
          </c:val>
          <c:extLst>
            <c:ext xmlns:c16="http://schemas.microsoft.com/office/drawing/2014/chart" uri="{C3380CC4-5D6E-409C-BE32-E72D297353CC}">
              <c16:uniqueId val="{00000001-133C-4AA4-BDAE-04EC1B265C89}"/>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b"/>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16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l"/>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Report.xlsx]Danger Index vs. Total Sleep!PivotTable1</c:name>
    <c:fmtId val="20"/>
  </c:pivotSource>
  <c:chart>
    <c:title>
      <c:tx>
        <c:rich>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r>
              <a:rPr lang="en-US" sz="1800" b="1" baseline="0">
                <a:solidFill>
                  <a:srgbClr val="E2AC00"/>
                </a:solidFill>
                <a:latin typeface="Bodoni MT" panose="02070603080606020203" pitchFamily="18" charset="0"/>
              </a:rPr>
              <a:t>Danger Index vs. Total Sleep Analysis</a:t>
            </a:r>
            <a:endParaRPr lang="en-US"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16240E"/>
          </a:solidFill>
          <a:ln>
            <a:noFill/>
          </a:ln>
          <a:effectLst/>
        </c:spPr>
      </c:pivotFmt>
      <c:pivotFmt>
        <c:idx val="48"/>
        <c:spPr>
          <a:solidFill>
            <a:srgbClr val="253917"/>
          </a:solidFill>
          <a:ln>
            <a:noFill/>
          </a:ln>
          <a:effectLst/>
        </c:spPr>
      </c:pivotFmt>
      <c:pivotFmt>
        <c:idx val="49"/>
        <c:spPr>
          <a:solidFill>
            <a:srgbClr val="3C5D25"/>
          </a:solidFill>
          <a:ln>
            <a:noFill/>
          </a:ln>
          <a:effectLst/>
        </c:spPr>
      </c:pivotFmt>
      <c:pivotFmt>
        <c:idx val="50"/>
        <c:spPr>
          <a:solidFill>
            <a:srgbClr val="4F7A32"/>
          </a:solidFill>
          <a:ln>
            <a:noFill/>
          </a:ln>
          <a:effectLst/>
        </c:spPr>
      </c:pivotFmt>
      <c:pivotFmt>
        <c:idx val="51"/>
        <c:spPr>
          <a:solidFill>
            <a:srgbClr val="6AA442"/>
          </a:solidFill>
          <a:ln>
            <a:noFill/>
          </a:ln>
          <a:effectLst/>
        </c:spPr>
      </c:pivotFmt>
      <c:pivotFmt>
        <c:idx val="52"/>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16240E"/>
          </a:solidFill>
          <a:ln>
            <a:noFill/>
          </a:ln>
          <a:effectLst/>
        </c:spPr>
      </c:pivotFmt>
      <c:pivotFmt>
        <c:idx val="54"/>
        <c:spPr>
          <a:solidFill>
            <a:srgbClr val="253917"/>
          </a:solidFill>
          <a:ln>
            <a:noFill/>
          </a:ln>
          <a:effectLst/>
        </c:spPr>
      </c:pivotFmt>
      <c:pivotFmt>
        <c:idx val="55"/>
        <c:spPr>
          <a:solidFill>
            <a:srgbClr val="3C5D25"/>
          </a:solidFill>
          <a:ln>
            <a:noFill/>
          </a:ln>
          <a:effectLst/>
        </c:spPr>
      </c:pivotFmt>
      <c:pivotFmt>
        <c:idx val="56"/>
        <c:spPr>
          <a:solidFill>
            <a:srgbClr val="4F7A32"/>
          </a:solidFill>
          <a:ln>
            <a:noFill/>
          </a:ln>
          <a:effectLst/>
        </c:spPr>
      </c:pivotFmt>
      <c:pivotFmt>
        <c:idx val="57"/>
        <c:spPr>
          <a:solidFill>
            <a:srgbClr val="6AA442"/>
          </a:solidFill>
          <a:ln>
            <a:noFill/>
          </a:ln>
          <a:effectLst/>
        </c:spPr>
      </c:pivotFmt>
      <c:pivotFmt>
        <c:idx val="58"/>
        <c:spPr>
          <a:solidFill>
            <a:srgbClr val="E2AC00"/>
          </a:solidFill>
          <a:ln>
            <a:noFill/>
          </a:ln>
          <a:effectLst/>
        </c:spPr>
      </c:pivotFmt>
      <c:pivotFmt>
        <c:idx val="59"/>
        <c:spPr>
          <a:solidFill>
            <a:srgbClr val="B88C00"/>
          </a:solidFill>
          <a:ln>
            <a:noFill/>
          </a:ln>
          <a:effectLst/>
        </c:spPr>
      </c:pivotFmt>
      <c:pivotFmt>
        <c:idx val="60"/>
        <c:spPr>
          <a:solidFill>
            <a:srgbClr val="967200"/>
          </a:solidFill>
          <a:ln>
            <a:noFill/>
          </a:ln>
          <a:effectLst/>
        </c:spPr>
      </c:pivotFmt>
      <c:pivotFmt>
        <c:idx val="61"/>
        <c:spPr>
          <a:solidFill>
            <a:srgbClr val="8E6C00"/>
          </a:solidFill>
          <a:ln>
            <a:noFill/>
          </a:ln>
          <a:effectLst/>
        </c:spPr>
      </c:pivotFmt>
      <c:pivotFmt>
        <c:idx val="62"/>
        <c:spPr>
          <a:solidFill>
            <a:srgbClr val="6C5200"/>
          </a:solidFill>
          <a:ln>
            <a:noFill/>
          </a:ln>
          <a:effectLst/>
        </c:spPr>
      </c:pivotFmt>
    </c:pivotFmts>
    <c:plotArea>
      <c:layout>
        <c:manualLayout>
          <c:layoutTarget val="inner"/>
          <c:xMode val="edge"/>
          <c:yMode val="edge"/>
          <c:x val="7.82067806213287E-2"/>
          <c:y val="0.21802346135304515"/>
          <c:w val="0.83125235685782306"/>
          <c:h val="0.66335904440516369"/>
        </c:manualLayout>
      </c:layout>
      <c:barChart>
        <c:barDir val="col"/>
        <c:grouping val="clustered"/>
        <c:varyColors val="0"/>
        <c:ser>
          <c:idx val="0"/>
          <c:order val="0"/>
          <c:tx>
            <c:strRef>
              <c:f>'Danger Index vs. Total Sleep'!$B$3</c:f>
              <c:strCache>
                <c:ptCount val="1"/>
                <c:pt idx="0">
                  <c:v>Total</c:v>
                </c:pt>
              </c:strCache>
            </c:strRef>
          </c:tx>
          <c:spPr>
            <a:solidFill>
              <a:srgbClr val="E2AC00"/>
            </a:solidFill>
            <a:ln>
              <a:noFill/>
            </a:ln>
            <a:effectLst/>
          </c:spPr>
          <c:invertIfNegative val="0"/>
          <c:dPt>
            <c:idx val="0"/>
            <c:invertIfNegative val="0"/>
            <c:bubble3D val="0"/>
            <c:extLst>
              <c:ext xmlns:c16="http://schemas.microsoft.com/office/drawing/2014/chart" uri="{C3380CC4-5D6E-409C-BE32-E72D297353CC}">
                <c16:uniqueId val="{00000001-4B63-49F5-BC73-A77B8C265F76}"/>
              </c:ext>
            </c:extLst>
          </c:dPt>
          <c:dPt>
            <c:idx val="1"/>
            <c:invertIfNegative val="0"/>
            <c:bubble3D val="0"/>
            <c:spPr>
              <a:solidFill>
                <a:srgbClr val="B88C00"/>
              </a:solidFill>
              <a:ln>
                <a:noFill/>
              </a:ln>
              <a:effectLst/>
            </c:spPr>
            <c:extLst>
              <c:ext xmlns:c16="http://schemas.microsoft.com/office/drawing/2014/chart" uri="{C3380CC4-5D6E-409C-BE32-E72D297353CC}">
                <c16:uniqueId val="{00000003-4B63-49F5-BC73-A77B8C265F76}"/>
              </c:ext>
            </c:extLst>
          </c:dPt>
          <c:dPt>
            <c:idx val="2"/>
            <c:invertIfNegative val="0"/>
            <c:bubble3D val="0"/>
            <c:spPr>
              <a:solidFill>
                <a:srgbClr val="967200"/>
              </a:solidFill>
              <a:ln>
                <a:noFill/>
              </a:ln>
              <a:effectLst/>
            </c:spPr>
            <c:extLst>
              <c:ext xmlns:c16="http://schemas.microsoft.com/office/drawing/2014/chart" uri="{C3380CC4-5D6E-409C-BE32-E72D297353CC}">
                <c16:uniqueId val="{00000005-4B63-49F5-BC73-A77B8C265F76}"/>
              </c:ext>
            </c:extLst>
          </c:dPt>
          <c:dPt>
            <c:idx val="3"/>
            <c:invertIfNegative val="0"/>
            <c:bubble3D val="0"/>
            <c:spPr>
              <a:solidFill>
                <a:srgbClr val="8E6C00"/>
              </a:solidFill>
              <a:ln>
                <a:noFill/>
              </a:ln>
              <a:effectLst/>
            </c:spPr>
            <c:extLst>
              <c:ext xmlns:c16="http://schemas.microsoft.com/office/drawing/2014/chart" uri="{C3380CC4-5D6E-409C-BE32-E72D297353CC}">
                <c16:uniqueId val="{00000007-4B63-49F5-BC73-A77B8C265F76}"/>
              </c:ext>
            </c:extLst>
          </c:dPt>
          <c:dPt>
            <c:idx val="4"/>
            <c:invertIfNegative val="0"/>
            <c:bubble3D val="0"/>
            <c:spPr>
              <a:solidFill>
                <a:srgbClr val="6C5200"/>
              </a:solidFill>
              <a:ln>
                <a:noFill/>
              </a:ln>
              <a:effectLst/>
            </c:spPr>
            <c:extLst>
              <c:ext xmlns:c16="http://schemas.microsoft.com/office/drawing/2014/chart" uri="{C3380CC4-5D6E-409C-BE32-E72D297353CC}">
                <c16:uniqueId val="{00000009-4B63-49F5-BC73-A77B8C265F7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'Danger Index vs. Total Sleep'!$A$4:$A$9</c:f>
              <c:strCache>
                <c:ptCount val="5"/>
                <c:pt idx="0">
                  <c:v>1</c:v>
                </c:pt>
                <c:pt idx="1">
                  <c:v>2</c:v>
                </c:pt>
                <c:pt idx="2">
                  <c:v>3</c:v>
                </c:pt>
                <c:pt idx="3">
                  <c:v>4</c:v>
                </c:pt>
                <c:pt idx="4">
                  <c:v>5</c:v>
                </c:pt>
              </c:strCache>
            </c:strRef>
          </c:cat>
          <c:val>
            <c:numRef>
              <c:f>'Danger Index vs. Total Sleep'!$B$4:$B$9</c:f>
              <c:numCache>
                <c:formatCode>General</c:formatCode>
                <c:ptCount val="5"/>
                <c:pt idx="0">
                  <c:v>235.50000000000003</c:v>
                </c:pt>
                <c:pt idx="1">
                  <c:v>164.5</c:v>
                </c:pt>
                <c:pt idx="2">
                  <c:v>103.10000000000002</c:v>
                </c:pt>
                <c:pt idx="3">
                  <c:v>79.300000000000011</c:v>
                </c:pt>
                <c:pt idx="4">
                  <c:v>28.500000000000004</c:v>
                </c:pt>
              </c:numCache>
            </c:numRef>
          </c:val>
          <c:extLst>
            <c:ext xmlns:c16="http://schemas.microsoft.com/office/drawing/2014/chart" uri="{C3380CC4-5D6E-409C-BE32-E72D297353CC}">
              <c16:uniqueId val="{0000000A-4B63-49F5-BC73-A77B8C265F76}"/>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b"/>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16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l"/>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Report.xlsx]Sleep Exposure vs. Sleep!PivotTable1</c:name>
    <c:fmtId val="25"/>
  </c:pivotSource>
  <c:chart>
    <c:title>
      <c:tx>
        <c:rich>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r>
              <a:rPr lang="en-US" sz="1800" b="1" baseline="0">
                <a:solidFill>
                  <a:srgbClr val="E2AC00"/>
                </a:solidFill>
                <a:latin typeface="Bodoni MT" panose="02070603080606020203" pitchFamily="18" charset="0"/>
              </a:rPr>
              <a:t>Sleep Exposure Index vs. Total Sleep Analysis</a:t>
            </a:r>
            <a:endParaRPr lang="en-US" b="1">
              <a:solidFill>
                <a:srgbClr val="E2AC00"/>
              </a:solidFill>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2AC00"/>
              </a:solidFill>
              <a:latin typeface="+mn-lt"/>
              <a:ea typeface="+mn-ea"/>
              <a:cs typeface="+mn-cs"/>
            </a:defRPr>
          </a:pPr>
          <a:endParaRPr lang="en-US"/>
        </a:p>
      </c:txPr>
    </c:title>
    <c:autoTitleDeleted val="0"/>
    <c:pivotFmts>
      <c:pivotFmt>
        <c:idx val="0"/>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240E"/>
          </a:solidFill>
          <a:ln>
            <a:noFill/>
          </a:ln>
          <a:effectLst/>
        </c:spPr>
      </c:pivotFmt>
      <c:pivotFmt>
        <c:idx val="2"/>
        <c:spPr>
          <a:solidFill>
            <a:srgbClr val="1E2F13"/>
          </a:solidFill>
          <a:ln>
            <a:noFill/>
          </a:ln>
          <a:effectLst/>
        </c:spPr>
      </c:pivotFmt>
      <c:pivotFmt>
        <c:idx val="3"/>
        <c:spPr>
          <a:solidFill>
            <a:srgbClr val="2C441C"/>
          </a:solidFill>
          <a:ln>
            <a:noFill/>
          </a:ln>
          <a:effectLst/>
        </c:spPr>
      </c:pivotFmt>
      <c:pivotFmt>
        <c:idx val="4"/>
        <c:spPr>
          <a:solidFill>
            <a:schemeClr val="accent6">
              <a:lumMod val="50000"/>
            </a:schemeClr>
          </a:solidFill>
          <a:ln>
            <a:noFill/>
          </a:ln>
          <a:effectLst/>
        </c:spPr>
      </c:pivotFmt>
      <c:pivotFmt>
        <c:idx val="5"/>
        <c:spPr>
          <a:solidFill>
            <a:srgbClr val="3C5D25"/>
          </a:solidFill>
          <a:ln>
            <a:noFill/>
          </a:ln>
          <a:effectLst/>
        </c:spPr>
      </c:pivotFmt>
      <c:pivotFmt>
        <c:idx val="6"/>
        <c:spPr>
          <a:solidFill>
            <a:srgbClr val="4F7A32"/>
          </a:solidFill>
          <a:ln>
            <a:noFill/>
          </a:ln>
          <a:effectLst/>
        </c:spPr>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40000"/>
              <a:lumOff val="60000"/>
            </a:schemeClr>
          </a:solidFill>
          <a:ln>
            <a:noFill/>
          </a:ln>
          <a:effectLst/>
        </c:spPr>
      </c:pivotFmt>
      <c:pivotFmt>
        <c:idx val="11"/>
        <c:spPr>
          <a:solidFill>
            <a:srgbClr val="2539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75000"/>
            </a:schemeClr>
          </a:solidFill>
          <a:ln>
            <a:noFill/>
          </a:ln>
          <a:effectLst/>
        </c:spPr>
      </c:pivotFmt>
      <c:pivotFmt>
        <c:idx val="16"/>
        <c:spPr>
          <a:solidFill>
            <a:srgbClr val="4F7A32"/>
          </a:solidFill>
          <a:ln>
            <a:noFill/>
          </a:ln>
          <a:effectLst/>
        </c:spPr>
      </c:pivotFmt>
      <c:pivotFmt>
        <c:idx val="17"/>
        <c:spPr>
          <a:solidFill>
            <a:srgbClr val="3C5D25"/>
          </a:solidFill>
          <a:ln>
            <a:noFill/>
          </a:ln>
          <a:effectLst/>
        </c:spPr>
      </c:pivotFmt>
      <c:pivotFmt>
        <c:idx val="18"/>
        <c:spPr>
          <a:solidFill>
            <a:schemeClr val="accent6">
              <a:lumMod val="50000"/>
            </a:schemeClr>
          </a:solidFill>
          <a:ln>
            <a:noFill/>
          </a:ln>
          <a:effectLst/>
        </c:spPr>
      </c:pivotFmt>
      <c:pivotFmt>
        <c:idx val="19"/>
        <c:spPr>
          <a:solidFill>
            <a:srgbClr val="2C441C"/>
          </a:solidFill>
          <a:ln>
            <a:noFill/>
          </a:ln>
          <a:effectLst/>
        </c:spPr>
      </c:pivotFmt>
      <c:pivotFmt>
        <c:idx val="20"/>
        <c:spPr>
          <a:solidFill>
            <a:srgbClr val="1E2F13"/>
          </a:solidFill>
          <a:ln>
            <a:noFill/>
          </a:ln>
          <a:effectLst/>
        </c:spPr>
      </c:pivotFmt>
      <c:pivotFmt>
        <c:idx val="21"/>
        <c:spPr>
          <a:solidFill>
            <a:srgbClr val="16240E"/>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6240E"/>
          </a:solidFill>
          <a:ln>
            <a:noFill/>
          </a:ln>
          <a:effectLst/>
        </c:spPr>
      </c:pivotFmt>
      <c:pivotFmt>
        <c:idx val="24"/>
        <c:spPr>
          <a:solidFill>
            <a:srgbClr val="1E2F13"/>
          </a:solidFill>
          <a:ln>
            <a:noFill/>
          </a:ln>
          <a:effectLst/>
        </c:spPr>
      </c:pivotFmt>
      <c:pivotFmt>
        <c:idx val="25"/>
        <c:spPr>
          <a:solidFill>
            <a:srgbClr val="253917"/>
          </a:solidFill>
          <a:ln>
            <a:noFill/>
          </a:ln>
          <a:effectLst/>
        </c:spPr>
      </c:pivotFmt>
      <c:pivotFmt>
        <c:idx val="26"/>
        <c:spPr>
          <a:solidFill>
            <a:srgbClr val="2C441C"/>
          </a:solidFill>
          <a:ln>
            <a:noFill/>
          </a:ln>
          <a:effectLst/>
        </c:spPr>
      </c:pivotFmt>
      <c:pivotFmt>
        <c:idx val="27"/>
        <c:spPr>
          <a:solidFill>
            <a:srgbClr val="3C5D25"/>
          </a:solidFill>
          <a:ln>
            <a:noFill/>
          </a:ln>
          <a:effectLst/>
        </c:spPr>
      </c:pivotFmt>
      <c:pivotFmt>
        <c:idx val="28"/>
        <c:spPr>
          <a:solidFill>
            <a:srgbClr val="416529"/>
          </a:solidFill>
          <a:ln>
            <a:noFill/>
          </a:ln>
          <a:effectLst/>
        </c:spPr>
      </c:pivotFmt>
      <c:pivotFmt>
        <c:idx val="29"/>
        <c:spPr>
          <a:solidFill>
            <a:srgbClr val="43682A"/>
          </a:solidFill>
          <a:ln>
            <a:noFill/>
          </a:ln>
          <a:effectLst/>
        </c:spPr>
      </c:pivotFmt>
      <c:pivotFmt>
        <c:idx val="30"/>
        <c:spPr>
          <a:solidFill>
            <a:srgbClr val="4F7A32"/>
          </a:solidFill>
          <a:ln>
            <a:noFill/>
          </a:ln>
          <a:effectLst/>
        </c:spPr>
      </c:pivotFmt>
      <c:pivotFmt>
        <c:idx val="31"/>
        <c:spPr>
          <a:solidFill>
            <a:srgbClr val="5E913B"/>
          </a:solidFill>
          <a:ln>
            <a:noFill/>
          </a:ln>
          <a:effectLst/>
        </c:spPr>
      </c:pivotFmt>
      <c:pivotFmt>
        <c:idx val="32"/>
        <c:spPr>
          <a:solidFill>
            <a:srgbClr val="6AA442"/>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6AA442"/>
          </a:solidFill>
          <a:ln>
            <a:noFill/>
          </a:ln>
          <a:effectLst/>
        </c:spPr>
      </c:pivotFmt>
      <c:pivotFmt>
        <c:idx val="35"/>
        <c:spPr>
          <a:solidFill>
            <a:srgbClr val="5E913B"/>
          </a:solidFill>
          <a:ln>
            <a:noFill/>
          </a:ln>
          <a:effectLst/>
        </c:spPr>
      </c:pivotFmt>
      <c:pivotFmt>
        <c:idx val="36"/>
        <c:spPr>
          <a:solidFill>
            <a:srgbClr val="4F7A32"/>
          </a:solidFill>
          <a:ln>
            <a:noFill/>
          </a:ln>
          <a:effectLst/>
        </c:spPr>
      </c:pivotFmt>
      <c:pivotFmt>
        <c:idx val="37"/>
        <c:spPr>
          <a:solidFill>
            <a:srgbClr val="43682A"/>
          </a:solidFill>
          <a:ln>
            <a:noFill/>
          </a:ln>
          <a:effectLst/>
        </c:spPr>
      </c:pivotFmt>
      <c:pivotFmt>
        <c:idx val="38"/>
        <c:spPr>
          <a:solidFill>
            <a:srgbClr val="416529"/>
          </a:solidFill>
          <a:ln>
            <a:noFill/>
          </a:ln>
          <a:effectLst/>
        </c:spPr>
      </c:pivotFmt>
      <c:pivotFmt>
        <c:idx val="39"/>
        <c:spPr>
          <a:solidFill>
            <a:srgbClr val="3C5D25"/>
          </a:solidFill>
          <a:ln>
            <a:noFill/>
          </a:ln>
          <a:effectLst/>
        </c:spPr>
      </c:pivotFmt>
      <c:pivotFmt>
        <c:idx val="40"/>
        <c:spPr>
          <a:solidFill>
            <a:srgbClr val="2C441C"/>
          </a:solidFill>
          <a:ln>
            <a:noFill/>
          </a:ln>
          <a:effectLst/>
        </c:spPr>
      </c:pivotFmt>
      <c:pivotFmt>
        <c:idx val="41"/>
        <c:spPr>
          <a:solidFill>
            <a:srgbClr val="253917"/>
          </a:solidFill>
          <a:ln>
            <a:noFill/>
          </a:ln>
          <a:effectLst/>
        </c:spPr>
      </c:pivotFmt>
      <c:pivotFmt>
        <c:idx val="42"/>
        <c:spPr>
          <a:solidFill>
            <a:srgbClr val="1E2F13"/>
          </a:solidFill>
          <a:ln>
            <a:noFill/>
          </a:ln>
          <a:effectLst/>
        </c:spPr>
      </c:pivotFmt>
      <c:pivotFmt>
        <c:idx val="43"/>
        <c:spPr>
          <a:solidFill>
            <a:srgbClr val="16240E"/>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16240E"/>
          </a:solidFill>
          <a:ln>
            <a:noFill/>
          </a:ln>
          <a:effectLst/>
        </c:spPr>
      </c:pivotFmt>
      <c:pivotFmt>
        <c:idx val="48"/>
        <c:spPr>
          <a:solidFill>
            <a:srgbClr val="253917"/>
          </a:solidFill>
          <a:ln>
            <a:noFill/>
          </a:ln>
          <a:effectLst/>
        </c:spPr>
      </c:pivotFmt>
      <c:pivotFmt>
        <c:idx val="49"/>
        <c:spPr>
          <a:solidFill>
            <a:srgbClr val="3C5D25"/>
          </a:solidFill>
          <a:ln>
            <a:noFill/>
          </a:ln>
          <a:effectLst/>
        </c:spPr>
      </c:pivotFmt>
      <c:pivotFmt>
        <c:idx val="50"/>
        <c:spPr>
          <a:solidFill>
            <a:srgbClr val="4F7A32"/>
          </a:solidFill>
          <a:ln>
            <a:noFill/>
          </a:ln>
          <a:effectLst/>
        </c:spPr>
      </c:pivotFmt>
      <c:pivotFmt>
        <c:idx val="51"/>
        <c:spPr>
          <a:solidFill>
            <a:srgbClr val="6AA442"/>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16240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16240E"/>
          </a:solidFill>
          <a:ln>
            <a:noFill/>
          </a:ln>
          <a:effectLst/>
        </c:spPr>
      </c:pivotFmt>
      <c:pivotFmt>
        <c:idx val="54"/>
        <c:spPr>
          <a:solidFill>
            <a:srgbClr val="253917"/>
          </a:solidFill>
          <a:ln>
            <a:noFill/>
          </a:ln>
          <a:effectLst/>
        </c:spPr>
      </c:pivotFmt>
      <c:pivotFmt>
        <c:idx val="55"/>
        <c:spPr>
          <a:solidFill>
            <a:srgbClr val="3C5D25"/>
          </a:solidFill>
          <a:ln>
            <a:noFill/>
          </a:ln>
          <a:effectLst/>
        </c:spPr>
      </c:pivotFmt>
      <c:pivotFmt>
        <c:idx val="56"/>
        <c:spPr>
          <a:solidFill>
            <a:srgbClr val="4F7A32"/>
          </a:solidFill>
          <a:ln>
            <a:noFill/>
          </a:ln>
          <a:effectLst/>
        </c:spPr>
      </c:pivotFmt>
      <c:pivotFmt>
        <c:idx val="57"/>
        <c:spPr>
          <a:solidFill>
            <a:srgbClr val="6AA442"/>
          </a:solidFill>
          <a:ln>
            <a:noFill/>
          </a:ln>
          <a:effectLst/>
        </c:spPr>
      </c:pivotFmt>
      <c:pivotFmt>
        <c:idx val="58"/>
        <c:spPr>
          <a:solidFill>
            <a:srgbClr val="16240E"/>
          </a:solidFill>
          <a:ln>
            <a:noFill/>
          </a:ln>
          <a:effectLst/>
        </c:spPr>
      </c:pivotFmt>
      <c:pivotFmt>
        <c:idx val="59"/>
        <c:spPr>
          <a:solidFill>
            <a:srgbClr val="253917"/>
          </a:solidFill>
          <a:ln>
            <a:noFill/>
          </a:ln>
          <a:effectLst/>
        </c:spPr>
      </c:pivotFmt>
      <c:pivotFmt>
        <c:idx val="60"/>
        <c:spPr>
          <a:solidFill>
            <a:srgbClr val="3C5D25"/>
          </a:solidFill>
          <a:ln>
            <a:noFill/>
          </a:ln>
          <a:effectLst/>
        </c:spPr>
      </c:pivotFmt>
      <c:pivotFmt>
        <c:idx val="61"/>
        <c:spPr>
          <a:solidFill>
            <a:srgbClr val="4F7A32"/>
          </a:solidFill>
          <a:ln>
            <a:noFill/>
          </a:ln>
          <a:effectLst/>
        </c:spPr>
      </c:pivotFmt>
      <c:pivotFmt>
        <c:idx val="62"/>
        <c:spPr>
          <a:solidFill>
            <a:srgbClr val="6AA442"/>
          </a:solidFill>
          <a:ln>
            <a:noFill/>
          </a:ln>
          <a:effectLst/>
        </c:spPr>
      </c:pivotFmt>
      <c:pivotFmt>
        <c:idx val="63"/>
        <c:spPr>
          <a:solidFill>
            <a:srgbClr val="E2A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16240E"/>
          </a:solidFill>
          <a:ln>
            <a:noFill/>
          </a:ln>
          <a:effectLst/>
        </c:spPr>
      </c:pivotFmt>
      <c:pivotFmt>
        <c:idx val="65"/>
        <c:spPr>
          <a:solidFill>
            <a:srgbClr val="253917"/>
          </a:solidFill>
          <a:ln>
            <a:noFill/>
          </a:ln>
          <a:effectLst/>
        </c:spPr>
      </c:pivotFmt>
      <c:pivotFmt>
        <c:idx val="66"/>
        <c:spPr>
          <a:solidFill>
            <a:srgbClr val="3C5D25"/>
          </a:solidFill>
          <a:ln>
            <a:noFill/>
          </a:ln>
          <a:effectLst/>
        </c:spPr>
      </c:pivotFmt>
      <c:pivotFmt>
        <c:idx val="67"/>
        <c:spPr>
          <a:solidFill>
            <a:srgbClr val="4F7A32"/>
          </a:solidFill>
          <a:ln>
            <a:noFill/>
          </a:ln>
          <a:effectLst/>
        </c:spPr>
      </c:pivotFmt>
      <c:pivotFmt>
        <c:idx val="68"/>
        <c:spPr>
          <a:solidFill>
            <a:srgbClr val="6AA442"/>
          </a:solidFill>
          <a:ln>
            <a:noFill/>
          </a:ln>
          <a:effectLst/>
        </c:spPr>
      </c:pivotFmt>
      <c:pivotFmt>
        <c:idx val="69"/>
        <c:spPr>
          <a:solidFill>
            <a:srgbClr val="E2AC00"/>
          </a:solidFill>
          <a:ln>
            <a:noFill/>
          </a:ln>
          <a:effectLst/>
        </c:spPr>
      </c:pivotFmt>
      <c:pivotFmt>
        <c:idx val="70"/>
        <c:spPr>
          <a:solidFill>
            <a:srgbClr val="B88C00"/>
          </a:solidFill>
          <a:ln>
            <a:noFill/>
          </a:ln>
          <a:effectLst/>
        </c:spPr>
      </c:pivotFmt>
      <c:pivotFmt>
        <c:idx val="71"/>
        <c:spPr>
          <a:solidFill>
            <a:srgbClr val="967200"/>
          </a:solidFill>
          <a:ln>
            <a:noFill/>
          </a:ln>
          <a:effectLst/>
        </c:spPr>
      </c:pivotFmt>
      <c:pivotFmt>
        <c:idx val="72"/>
        <c:spPr>
          <a:solidFill>
            <a:srgbClr val="8E6C00"/>
          </a:solidFill>
          <a:ln>
            <a:noFill/>
          </a:ln>
          <a:effectLst/>
        </c:spPr>
      </c:pivotFmt>
      <c:pivotFmt>
        <c:idx val="73"/>
        <c:spPr>
          <a:solidFill>
            <a:srgbClr val="6C5200"/>
          </a:solidFill>
          <a:ln>
            <a:noFill/>
          </a:ln>
          <a:effectLst/>
        </c:spPr>
      </c:pivotFmt>
    </c:pivotFmts>
    <c:plotArea>
      <c:layout>
        <c:manualLayout>
          <c:layoutTarget val="inner"/>
          <c:xMode val="edge"/>
          <c:yMode val="edge"/>
          <c:x val="7.82067806213287E-2"/>
          <c:y val="0.21802346135304515"/>
          <c:w val="0.83125235685782306"/>
          <c:h val="0.66335904440516369"/>
        </c:manualLayout>
      </c:layout>
      <c:barChart>
        <c:barDir val="col"/>
        <c:grouping val="clustered"/>
        <c:varyColors val="0"/>
        <c:ser>
          <c:idx val="0"/>
          <c:order val="0"/>
          <c:tx>
            <c:strRef>
              <c:f>'Sleep Exposure vs. Sleep'!$B$3</c:f>
              <c:strCache>
                <c:ptCount val="1"/>
                <c:pt idx="0">
                  <c:v>Total</c:v>
                </c:pt>
              </c:strCache>
            </c:strRef>
          </c:tx>
          <c:spPr>
            <a:solidFill>
              <a:srgbClr val="E2AC00"/>
            </a:solidFill>
            <a:ln>
              <a:noFill/>
            </a:ln>
            <a:effectLst/>
          </c:spPr>
          <c:invertIfNegative val="0"/>
          <c:dPt>
            <c:idx val="0"/>
            <c:invertIfNegative val="0"/>
            <c:bubble3D val="0"/>
            <c:extLst>
              <c:ext xmlns:c16="http://schemas.microsoft.com/office/drawing/2014/chart" uri="{C3380CC4-5D6E-409C-BE32-E72D297353CC}">
                <c16:uniqueId val="{00000001-804A-4C41-BE93-34E46712C543}"/>
              </c:ext>
            </c:extLst>
          </c:dPt>
          <c:dPt>
            <c:idx val="1"/>
            <c:invertIfNegative val="0"/>
            <c:bubble3D val="0"/>
            <c:spPr>
              <a:solidFill>
                <a:srgbClr val="B88C00"/>
              </a:solidFill>
              <a:ln>
                <a:noFill/>
              </a:ln>
              <a:effectLst/>
            </c:spPr>
            <c:extLst>
              <c:ext xmlns:c16="http://schemas.microsoft.com/office/drawing/2014/chart" uri="{C3380CC4-5D6E-409C-BE32-E72D297353CC}">
                <c16:uniqueId val="{00000003-804A-4C41-BE93-34E46712C543}"/>
              </c:ext>
            </c:extLst>
          </c:dPt>
          <c:dPt>
            <c:idx val="2"/>
            <c:invertIfNegative val="0"/>
            <c:bubble3D val="0"/>
            <c:spPr>
              <a:solidFill>
                <a:srgbClr val="967200"/>
              </a:solidFill>
              <a:ln>
                <a:noFill/>
              </a:ln>
              <a:effectLst/>
            </c:spPr>
            <c:extLst>
              <c:ext xmlns:c16="http://schemas.microsoft.com/office/drawing/2014/chart" uri="{C3380CC4-5D6E-409C-BE32-E72D297353CC}">
                <c16:uniqueId val="{00000005-804A-4C41-BE93-34E46712C543}"/>
              </c:ext>
            </c:extLst>
          </c:dPt>
          <c:dPt>
            <c:idx val="3"/>
            <c:invertIfNegative val="0"/>
            <c:bubble3D val="0"/>
            <c:spPr>
              <a:solidFill>
                <a:srgbClr val="8E6C00"/>
              </a:solidFill>
              <a:ln>
                <a:noFill/>
              </a:ln>
              <a:effectLst/>
            </c:spPr>
            <c:extLst>
              <c:ext xmlns:c16="http://schemas.microsoft.com/office/drawing/2014/chart" uri="{C3380CC4-5D6E-409C-BE32-E72D297353CC}">
                <c16:uniqueId val="{00000007-804A-4C41-BE93-34E46712C543}"/>
              </c:ext>
            </c:extLst>
          </c:dPt>
          <c:dPt>
            <c:idx val="4"/>
            <c:invertIfNegative val="0"/>
            <c:bubble3D val="0"/>
            <c:spPr>
              <a:solidFill>
                <a:srgbClr val="6C5200"/>
              </a:solidFill>
              <a:ln>
                <a:noFill/>
              </a:ln>
              <a:effectLst/>
            </c:spPr>
            <c:extLst>
              <c:ext xmlns:c16="http://schemas.microsoft.com/office/drawing/2014/chart" uri="{C3380CC4-5D6E-409C-BE32-E72D297353CC}">
                <c16:uniqueId val="{00000009-804A-4C41-BE93-34E46712C54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2AC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Exposure vs. Sleep'!$A$4:$A$9</c:f>
              <c:strCache>
                <c:ptCount val="5"/>
                <c:pt idx="0">
                  <c:v>1</c:v>
                </c:pt>
                <c:pt idx="1">
                  <c:v>2</c:v>
                </c:pt>
                <c:pt idx="2">
                  <c:v>4</c:v>
                </c:pt>
                <c:pt idx="3">
                  <c:v>5</c:v>
                </c:pt>
                <c:pt idx="4">
                  <c:v>3</c:v>
                </c:pt>
              </c:strCache>
            </c:strRef>
          </c:cat>
          <c:val>
            <c:numRef>
              <c:f>'Sleep Exposure vs. Sleep'!$B$4:$B$9</c:f>
              <c:numCache>
                <c:formatCode>General</c:formatCode>
                <c:ptCount val="5"/>
                <c:pt idx="0">
                  <c:v>336.6</c:v>
                </c:pt>
                <c:pt idx="1">
                  <c:v>144.5</c:v>
                </c:pt>
                <c:pt idx="2">
                  <c:v>53.599999999999994</c:v>
                </c:pt>
                <c:pt idx="3">
                  <c:v>41.9</c:v>
                </c:pt>
                <c:pt idx="4">
                  <c:v>34.299999999999997</c:v>
                </c:pt>
              </c:numCache>
            </c:numRef>
          </c:val>
          <c:extLst>
            <c:ext xmlns:c16="http://schemas.microsoft.com/office/drawing/2014/chart" uri="{C3380CC4-5D6E-409C-BE32-E72D297353CC}">
              <c16:uniqueId val="{0000000A-804A-4C41-BE93-34E46712C543}"/>
            </c:ext>
          </c:extLst>
        </c:ser>
        <c:dLbls>
          <c:dLblPos val="outEnd"/>
          <c:showLegendKey val="0"/>
          <c:showVal val="1"/>
          <c:showCatName val="0"/>
          <c:showSerName val="0"/>
          <c:showPercent val="0"/>
          <c:showBubbleSize val="0"/>
        </c:dLbls>
        <c:gapWidth val="48"/>
        <c:axId val="1316317392"/>
        <c:axId val="1316305872"/>
      </c:barChart>
      <c:catAx>
        <c:axId val="1316317392"/>
        <c:scaling>
          <c:orientation val="minMax"/>
        </c:scaling>
        <c:delete val="0"/>
        <c:axPos val="b"/>
        <c:numFmt formatCode="General" sourceLinked="1"/>
        <c:majorTickMark val="none"/>
        <c:minorTickMark val="none"/>
        <c:tickLblPos val="nextTo"/>
        <c:spPr>
          <a:noFill/>
          <a:ln w="9525" cap="flat" cmpd="sng" algn="ctr">
            <a:solidFill>
              <a:srgbClr val="16240E"/>
            </a:solidFill>
            <a:round/>
          </a:ln>
          <a:effectLst/>
        </c:spPr>
        <c:txPr>
          <a:bodyPr rot="-60000000" spcFirstLastPara="1" vertOverflow="ellipsis" vert="horz" wrap="square" anchor="ctr" anchorCtr="1"/>
          <a:lstStyle/>
          <a:p>
            <a:pPr>
              <a:defRPr sz="1600" b="1" i="0" u="none" strike="noStrike" kern="1200" baseline="0">
                <a:solidFill>
                  <a:srgbClr val="E2AC00"/>
                </a:solidFill>
                <a:latin typeface="+mn-lt"/>
                <a:ea typeface="+mn-ea"/>
                <a:cs typeface="+mn-cs"/>
              </a:defRPr>
            </a:pPr>
            <a:endParaRPr lang="en-US"/>
          </a:p>
        </c:txPr>
        <c:crossAx val="1316305872"/>
        <c:crosses val="autoZero"/>
        <c:auto val="1"/>
        <c:lblAlgn val="ctr"/>
        <c:lblOffset val="100"/>
        <c:noMultiLvlLbl val="0"/>
      </c:catAx>
      <c:valAx>
        <c:axId val="1316305872"/>
        <c:scaling>
          <c:orientation val="minMax"/>
        </c:scaling>
        <c:delete val="1"/>
        <c:axPos val="l"/>
        <c:numFmt formatCode="General" sourceLinked="1"/>
        <c:majorTickMark val="none"/>
        <c:minorTickMark val="none"/>
        <c:tickLblPos val="nextTo"/>
        <c:crossAx val="131631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hyperlink" Target="#'Pre-analysis Board'!A1"/><Relationship Id="rId26" Type="http://schemas.openxmlformats.org/officeDocument/2006/relationships/image" Target="../media/image17.svg"/><Relationship Id="rId3" Type="http://schemas.openxmlformats.org/officeDocument/2006/relationships/image" Target="../media/image2.png"/><Relationship Id="rId21" Type="http://schemas.openxmlformats.org/officeDocument/2006/relationships/chart" Target="../charts/chart3.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5.svg"/><Relationship Id="rId25" Type="http://schemas.openxmlformats.org/officeDocument/2006/relationships/image" Target="../media/image16.png"/><Relationship Id="rId2" Type="http://schemas.openxmlformats.org/officeDocument/2006/relationships/chart" Target="../charts/chart1.xml"/><Relationship Id="rId16" Type="http://schemas.openxmlformats.org/officeDocument/2006/relationships/image" Target="../media/image14.png"/><Relationship Id="rId20" Type="http://schemas.openxmlformats.org/officeDocument/2006/relationships/hyperlink" Target="mailto:Nwosuucee@gmail.com" TargetMode="External"/><Relationship Id="rId29"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24"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chart" Target="../charts/chart2.xml"/><Relationship Id="rId23" Type="http://schemas.openxmlformats.org/officeDocument/2006/relationships/chart" Target="../charts/chart5.xml"/><Relationship Id="rId28" Type="http://schemas.openxmlformats.org/officeDocument/2006/relationships/image" Target="../media/image19.png"/><Relationship Id="rId10" Type="http://schemas.openxmlformats.org/officeDocument/2006/relationships/image" Target="../media/image9.svg"/><Relationship Id="rId19" Type="http://schemas.openxmlformats.org/officeDocument/2006/relationships/hyperlink" Target="#'Post-analysis Recommendations'!A1"/><Relationship Id="rId31" Type="http://schemas.openxmlformats.org/officeDocument/2006/relationships/hyperlink" Target="#'Post-analysis Observations'!A1"/><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chart" Target="../charts/chart4.xml"/><Relationship Id="rId27" Type="http://schemas.openxmlformats.org/officeDocument/2006/relationships/image" Target="../media/image18.png"/><Relationship Id="rId30" Type="http://schemas.openxmlformats.org/officeDocument/2006/relationships/image" Target="../media/image2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365125</xdr:colOff>
      <xdr:row>15</xdr:row>
      <xdr:rowOff>31750</xdr:rowOff>
    </xdr:from>
    <xdr:to>
      <xdr:col>3</xdr:col>
      <xdr:colOff>476251</xdr:colOff>
      <xdr:row>72</xdr:row>
      <xdr:rowOff>111126</xdr:rowOff>
    </xdr:to>
    <xdr:sp macro="" textlink="">
      <xdr:nvSpPr>
        <xdr:cNvPr id="2" name="Rectangle: Rounded Corners 1">
          <a:extLst>
            <a:ext uri="{FF2B5EF4-FFF2-40B4-BE49-F238E27FC236}">
              <a16:creationId xmlns:a16="http://schemas.microsoft.com/office/drawing/2014/main" id="{D2D9F8FF-DAEC-400B-AD5D-3AA93605D250}"/>
            </a:ext>
          </a:extLst>
        </xdr:cNvPr>
        <xdr:cNvSpPr/>
      </xdr:nvSpPr>
      <xdr:spPr>
        <a:xfrm>
          <a:off x="365125" y="3003550"/>
          <a:ext cx="2122806" cy="11372216"/>
        </a:xfrm>
        <a:prstGeom prst="roundRect">
          <a:avLst>
            <a:gd name="adj" fmla="val 7711"/>
          </a:avLst>
        </a:prstGeom>
        <a:noFill/>
        <a:ln w="28575">
          <a:solidFill>
            <a:srgbClr val="0014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81640</xdr:colOff>
      <xdr:row>15</xdr:row>
      <xdr:rowOff>81642</xdr:rowOff>
    </xdr:from>
    <xdr:to>
      <xdr:col>43</xdr:col>
      <xdr:colOff>635000</xdr:colOff>
      <xdr:row>72</xdr:row>
      <xdr:rowOff>158749</xdr:rowOff>
    </xdr:to>
    <xdr:sp macro="" textlink="">
      <xdr:nvSpPr>
        <xdr:cNvPr id="3" name="Rectangle: Rounded Corners 2">
          <a:extLst>
            <a:ext uri="{FF2B5EF4-FFF2-40B4-BE49-F238E27FC236}">
              <a16:creationId xmlns:a16="http://schemas.microsoft.com/office/drawing/2014/main" id="{2543F934-CBDA-48CD-BE4F-B18579E66B3A}"/>
            </a:ext>
          </a:extLst>
        </xdr:cNvPr>
        <xdr:cNvSpPr/>
      </xdr:nvSpPr>
      <xdr:spPr>
        <a:xfrm>
          <a:off x="2763880" y="3053442"/>
          <a:ext cx="26705200" cy="11369947"/>
        </a:xfrm>
        <a:prstGeom prst="roundRect">
          <a:avLst>
            <a:gd name="adj" fmla="val 1715"/>
          </a:avLst>
        </a:prstGeom>
        <a:solidFill>
          <a:srgbClr val="001400"/>
        </a:solidFill>
        <a:ln w="28575">
          <a:solidFill>
            <a:srgbClr val="0014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79375</xdr:colOff>
      <xdr:row>1</xdr:row>
      <xdr:rowOff>89877</xdr:rowOff>
    </xdr:from>
    <xdr:to>
      <xdr:col>18</xdr:col>
      <xdr:colOff>493059</xdr:colOff>
      <xdr:row>12</xdr:row>
      <xdr:rowOff>15874</xdr:rowOff>
    </xdr:to>
    <xdr:sp macro="" textlink="">
      <xdr:nvSpPr>
        <xdr:cNvPr id="4" name="Rectangle 3">
          <a:extLst>
            <a:ext uri="{FF2B5EF4-FFF2-40B4-BE49-F238E27FC236}">
              <a16:creationId xmlns:a16="http://schemas.microsoft.com/office/drawing/2014/main" id="{A912037D-5CD1-4DBA-9105-30A4B1835085}"/>
            </a:ext>
          </a:extLst>
        </xdr:cNvPr>
        <xdr:cNvSpPr/>
      </xdr:nvSpPr>
      <xdr:spPr>
        <a:xfrm>
          <a:off x="2761615" y="287997"/>
          <a:ext cx="9801524" cy="2105317"/>
        </a:xfrm>
        <a:prstGeom prst="rect">
          <a:avLst/>
        </a:prstGeom>
        <a:noFill/>
        <a:ln w="28575">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200" b="1" i="0">
              <a:solidFill>
                <a:srgbClr val="001400"/>
              </a:solidFill>
              <a:effectLst/>
              <a:latin typeface="Bodoni MT Black" panose="02070A03080606020203" pitchFamily="18" charset="0"/>
              <a:ea typeface="+mn-ea"/>
              <a:cs typeface="+mn-cs"/>
            </a:rPr>
            <a:t>Sleep in Mammals: Ecological &amp; Constitutional Correlates</a:t>
          </a:r>
          <a:r>
            <a:rPr lang="en-US" sz="4200" b="1" i="0" baseline="0">
              <a:solidFill>
                <a:srgbClr val="001400"/>
              </a:solidFill>
              <a:effectLst/>
              <a:latin typeface="Bodoni MT Black" panose="02070A03080606020203" pitchFamily="18" charset="0"/>
              <a:ea typeface="+mn-ea"/>
              <a:cs typeface="+mn-cs"/>
            </a:rPr>
            <a:t> (Academic Research)</a:t>
          </a:r>
          <a:endParaRPr lang="en-US" sz="4200" b="1">
            <a:solidFill>
              <a:srgbClr val="001400"/>
            </a:solidFill>
            <a:latin typeface="Bodoni MT Black" panose="02070A03080606020203" pitchFamily="18" charset="0"/>
          </a:endParaRPr>
        </a:p>
      </xdr:txBody>
    </xdr:sp>
    <xdr:clientData/>
  </xdr:twoCellAnchor>
  <xdr:twoCellAnchor>
    <xdr:from>
      <xdr:col>0</xdr:col>
      <xdr:colOff>367393</xdr:colOff>
      <xdr:row>2</xdr:row>
      <xdr:rowOff>47625</xdr:rowOff>
    </xdr:from>
    <xdr:to>
      <xdr:col>3</xdr:col>
      <xdr:colOff>603250</xdr:colOff>
      <xdr:row>12</xdr:row>
      <xdr:rowOff>31750</xdr:rowOff>
    </xdr:to>
    <xdr:grpSp>
      <xdr:nvGrpSpPr>
        <xdr:cNvPr id="5" name="Group 4">
          <a:extLst>
            <a:ext uri="{FF2B5EF4-FFF2-40B4-BE49-F238E27FC236}">
              <a16:creationId xmlns:a16="http://schemas.microsoft.com/office/drawing/2014/main" id="{3687B615-33FE-4CEC-A39F-10BBCE0242E1}"/>
            </a:ext>
          </a:extLst>
        </xdr:cNvPr>
        <xdr:cNvGrpSpPr/>
      </xdr:nvGrpSpPr>
      <xdr:grpSpPr>
        <a:xfrm>
          <a:off x="367393" y="428625"/>
          <a:ext cx="2236107" cy="1889125"/>
          <a:chOff x="14900622" y="1856975"/>
          <a:chExt cx="4070403" cy="4233334"/>
        </a:xfrm>
      </xdr:grpSpPr>
      <xdr:sp macro="" textlink="">
        <xdr:nvSpPr>
          <xdr:cNvPr id="6" name="Oval 5">
            <a:extLst>
              <a:ext uri="{FF2B5EF4-FFF2-40B4-BE49-F238E27FC236}">
                <a16:creationId xmlns:a16="http://schemas.microsoft.com/office/drawing/2014/main" id="{7EA779B4-F2B9-8F8F-437E-97FD76C09A8E}"/>
              </a:ext>
            </a:extLst>
          </xdr:cNvPr>
          <xdr:cNvSpPr/>
        </xdr:nvSpPr>
        <xdr:spPr>
          <a:xfrm>
            <a:off x="14900622" y="1856975"/>
            <a:ext cx="4070403" cy="4188510"/>
          </a:xfrm>
          <a:prstGeom prst="ellipse">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Picture 6">
            <a:extLst>
              <a:ext uri="{FF2B5EF4-FFF2-40B4-BE49-F238E27FC236}">
                <a16:creationId xmlns:a16="http://schemas.microsoft.com/office/drawing/2014/main" id="{AB519A0E-6132-E46D-298C-2C6B2C2A99A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71" r="1"/>
          <a:stretch>
            <a:fillRect/>
          </a:stretch>
        </xdr:blipFill>
        <xdr:spPr>
          <a:xfrm>
            <a:off x="14994539" y="1913896"/>
            <a:ext cx="3913165" cy="4176413"/>
          </a:xfrm>
          <a:prstGeom prst="ellipse">
            <a:avLst/>
          </a:prstGeom>
        </xdr:spPr>
      </xdr:pic>
    </xdr:grpSp>
    <xdr:clientData/>
  </xdr:twoCellAnchor>
  <xdr:twoCellAnchor>
    <xdr:from>
      <xdr:col>4</xdr:col>
      <xdr:colOff>433877</xdr:colOff>
      <xdr:row>17</xdr:row>
      <xdr:rowOff>9734</xdr:rowOff>
    </xdr:from>
    <xdr:to>
      <xdr:col>19</xdr:col>
      <xdr:colOff>238124</xdr:colOff>
      <xdr:row>43</xdr:row>
      <xdr:rowOff>0</xdr:rowOff>
    </xdr:to>
    <xdr:graphicFrame macro="">
      <xdr:nvGraphicFramePr>
        <xdr:cNvPr id="8" name="Chart 7">
          <a:extLst>
            <a:ext uri="{FF2B5EF4-FFF2-40B4-BE49-F238E27FC236}">
              <a16:creationId xmlns:a16="http://schemas.microsoft.com/office/drawing/2014/main" id="{26F6B012-D6AE-48A6-A908-D435A0BD6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523875</xdr:colOff>
      <xdr:row>8</xdr:row>
      <xdr:rowOff>41704</xdr:rowOff>
    </xdr:from>
    <xdr:to>
      <xdr:col>28</xdr:col>
      <xdr:colOff>79375</xdr:colOff>
      <xdr:row>14</xdr:row>
      <xdr:rowOff>31749</xdr:rowOff>
    </xdr:to>
    <xdr:sp macro="" textlink="">
      <xdr:nvSpPr>
        <xdr:cNvPr id="9" name="Rectangle 11270">
          <a:extLst>
            <a:ext uri="{FF2B5EF4-FFF2-40B4-BE49-F238E27FC236}">
              <a16:creationId xmlns:a16="http://schemas.microsoft.com/office/drawing/2014/main" id="{4C74CFEB-24AC-4C7E-B449-E0D193647E2E}"/>
            </a:ext>
          </a:extLst>
        </xdr:cNvPr>
        <xdr:cNvSpPr/>
      </xdr:nvSpPr>
      <xdr:spPr>
        <a:xfrm>
          <a:off x="13935075" y="1626664"/>
          <a:ext cx="4919980" cy="1178765"/>
        </a:xfrm>
        <a:prstGeom prst="roundRect">
          <a:avLst>
            <a:gd name="adj" fmla="val 6859"/>
          </a:avLst>
        </a:prstGeom>
        <a:noFill/>
        <a:ln w="28575">
          <a:solidFill>
            <a:srgbClr val="0014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Most Occuring Predation Index:</a:t>
          </a:r>
        </a:p>
        <a:p>
          <a:pPr algn="l"/>
          <a:r>
            <a:rPr lang="en-US" sz="3600" b="1" u="sng">
              <a:solidFill>
                <a:srgbClr val="001400"/>
              </a:solidFill>
              <a:latin typeface="Lucida Bright" panose="02040602050505020304" pitchFamily="18" charset="0"/>
            </a:rPr>
            <a:t>2</a:t>
          </a:r>
          <a:endParaRPr lang="en-US" sz="1200" b="1" u="sng">
            <a:solidFill>
              <a:srgbClr val="001400"/>
            </a:solidFill>
            <a:latin typeface="Lucida Bright" panose="02040602050505020304" pitchFamily="18" charset="0"/>
          </a:endParaRPr>
        </a:p>
      </xdr:txBody>
    </xdr:sp>
    <xdr:clientData/>
  </xdr:twoCellAnchor>
  <xdr:twoCellAnchor>
    <xdr:from>
      <xdr:col>26</xdr:col>
      <xdr:colOff>311882</xdr:colOff>
      <xdr:row>10</xdr:row>
      <xdr:rowOff>135630</xdr:rowOff>
    </xdr:from>
    <xdr:to>
      <xdr:col>27</xdr:col>
      <xdr:colOff>428625</xdr:colOff>
      <xdr:row>13</xdr:row>
      <xdr:rowOff>154955</xdr:rowOff>
    </xdr:to>
    <xdr:pic>
      <xdr:nvPicPr>
        <xdr:cNvPr id="10" name="Graphic 9" descr="Devil face with solid fill with solid fill">
          <a:extLst>
            <a:ext uri="{FF2B5EF4-FFF2-40B4-BE49-F238E27FC236}">
              <a16:creationId xmlns:a16="http://schemas.microsoft.com/office/drawing/2014/main" id="{FED9CE5E-ACCF-4F0F-AFFE-B6637276AC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746442" y="2116830"/>
          <a:ext cx="787303" cy="613685"/>
        </a:xfrm>
        <a:prstGeom prst="roundRect">
          <a:avLst/>
        </a:prstGeom>
      </xdr:spPr>
    </xdr:pic>
    <xdr:clientData/>
  </xdr:twoCellAnchor>
  <xdr:twoCellAnchor>
    <xdr:from>
      <xdr:col>39</xdr:col>
      <xdr:colOff>126999</xdr:colOff>
      <xdr:row>1</xdr:row>
      <xdr:rowOff>164230</xdr:rowOff>
    </xdr:from>
    <xdr:to>
      <xdr:col>43</xdr:col>
      <xdr:colOff>539750</xdr:colOff>
      <xdr:row>7</xdr:row>
      <xdr:rowOff>129347</xdr:rowOff>
    </xdr:to>
    <xdr:sp macro="" textlink="">
      <xdr:nvSpPr>
        <xdr:cNvPr id="11" name="Rectangle 11268">
          <a:extLst>
            <a:ext uri="{FF2B5EF4-FFF2-40B4-BE49-F238E27FC236}">
              <a16:creationId xmlns:a16="http://schemas.microsoft.com/office/drawing/2014/main" id="{41E57B07-4C79-4726-99ED-756C5ACAC83A}"/>
            </a:ext>
          </a:extLst>
        </xdr:cNvPr>
        <xdr:cNvSpPr/>
      </xdr:nvSpPr>
      <xdr:spPr>
        <a:xfrm>
          <a:off x="26278839" y="362350"/>
          <a:ext cx="3094991" cy="1153837"/>
        </a:xfrm>
        <a:prstGeom prst="roundRect">
          <a:avLst>
            <a:gd name="adj" fmla="val 5206"/>
          </a:avLst>
        </a:prstGeom>
        <a:noFill/>
        <a:ln w="28575">
          <a:solidFill>
            <a:srgbClr val="0014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MAX</a:t>
          </a:r>
          <a:r>
            <a:rPr lang="en-US" sz="2800" b="1" baseline="0">
              <a:solidFill>
                <a:srgbClr val="001400"/>
              </a:solidFill>
              <a:latin typeface="Bodoni MT" panose="02070603080606020203" pitchFamily="18" charset="0"/>
            </a:rPr>
            <a:t> Sleep Time</a:t>
          </a:r>
          <a:r>
            <a:rPr lang="en-US" sz="2800" b="1">
              <a:solidFill>
                <a:srgbClr val="001400"/>
              </a:solidFill>
              <a:latin typeface="Bodoni MT" panose="02070603080606020203" pitchFamily="18" charset="0"/>
            </a:rPr>
            <a:t>:</a:t>
          </a:r>
          <a:endParaRPr lang="en-US" sz="2400" b="1">
            <a:solidFill>
              <a:srgbClr val="001400"/>
            </a:solidFill>
            <a:latin typeface="Bodoni MT" panose="02070603080606020203" pitchFamily="18" charset="0"/>
          </a:endParaRPr>
        </a:p>
        <a:p>
          <a:pPr algn="l"/>
          <a:r>
            <a:rPr lang="en-US" sz="3600" b="1" u="sng">
              <a:solidFill>
                <a:srgbClr val="001400"/>
              </a:solidFill>
              <a:latin typeface="Lucida Bright" panose="02040602050505020304" pitchFamily="18" charset="0"/>
            </a:rPr>
            <a:t>19.90</a:t>
          </a:r>
          <a:endParaRPr lang="en-US" sz="1200" b="1" u="sng">
            <a:solidFill>
              <a:srgbClr val="001400"/>
            </a:solidFill>
            <a:latin typeface="Lucida Bright" panose="02040602050505020304" pitchFamily="18" charset="0"/>
          </a:endParaRPr>
        </a:p>
      </xdr:txBody>
    </xdr:sp>
    <xdr:clientData/>
  </xdr:twoCellAnchor>
  <xdr:twoCellAnchor>
    <xdr:from>
      <xdr:col>41</xdr:col>
      <xdr:colOff>462078</xdr:colOff>
      <xdr:row>3</xdr:row>
      <xdr:rowOff>4415</xdr:rowOff>
    </xdr:from>
    <xdr:to>
      <xdr:col>43</xdr:col>
      <xdr:colOff>142873</xdr:colOff>
      <xdr:row>8</xdr:row>
      <xdr:rowOff>31750</xdr:rowOff>
    </xdr:to>
    <xdr:pic>
      <xdr:nvPicPr>
        <xdr:cNvPr id="12" name="Graphic 11" descr="Sleep with solid fill">
          <a:extLst>
            <a:ext uri="{FF2B5EF4-FFF2-40B4-BE49-F238E27FC236}">
              <a16:creationId xmlns:a16="http://schemas.microsoft.com/office/drawing/2014/main" id="{A0A4187A-BEAD-43F4-BDC1-099F3926CA5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27955038" y="598775"/>
          <a:ext cx="1021915" cy="1017935"/>
        </a:xfrm>
        <a:prstGeom prst="roundRect">
          <a:avLst/>
        </a:prstGeom>
      </xdr:spPr>
    </xdr:pic>
    <xdr:clientData/>
  </xdr:twoCellAnchor>
  <xdr:twoCellAnchor>
    <xdr:from>
      <xdr:col>20</xdr:col>
      <xdr:colOff>525026</xdr:colOff>
      <xdr:row>1</xdr:row>
      <xdr:rowOff>164354</xdr:rowOff>
    </xdr:from>
    <xdr:to>
      <xdr:col>25</xdr:col>
      <xdr:colOff>412750</xdr:colOff>
      <xdr:row>7</xdr:row>
      <xdr:rowOff>126999</xdr:rowOff>
    </xdr:to>
    <xdr:sp macro="" textlink="">
      <xdr:nvSpPr>
        <xdr:cNvPr id="13" name="Rectangle: Rounded Corners 12">
          <a:extLst>
            <a:ext uri="{FF2B5EF4-FFF2-40B4-BE49-F238E27FC236}">
              <a16:creationId xmlns:a16="http://schemas.microsoft.com/office/drawing/2014/main" id="{40E141B6-AB3D-48DF-AB9C-EF7AEBDFB652}"/>
            </a:ext>
          </a:extLst>
        </xdr:cNvPr>
        <xdr:cNvSpPr/>
      </xdr:nvSpPr>
      <xdr:spPr>
        <a:xfrm>
          <a:off x="13936226" y="362474"/>
          <a:ext cx="3240524" cy="1151365"/>
        </a:xfrm>
        <a:prstGeom prst="roundRect">
          <a:avLst>
            <a:gd name="adj" fmla="val 6616"/>
          </a:avLst>
        </a:prstGeom>
        <a:noFill/>
        <a:ln w="28575">
          <a:solidFill>
            <a:srgbClr val="0014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AVG Body Weight:</a:t>
          </a:r>
        </a:p>
        <a:p>
          <a:pPr algn="l"/>
          <a:r>
            <a:rPr lang="en-US" sz="3600" b="1" u="sng">
              <a:solidFill>
                <a:srgbClr val="001400"/>
              </a:solidFill>
              <a:latin typeface="Lucida Bright" panose="02040602050505020304" pitchFamily="18" charset="0"/>
            </a:rPr>
            <a:t>198.79</a:t>
          </a:r>
          <a:endParaRPr lang="en-US" sz="1200" b="1" u="sng">
            <a:solidFill>
              <a:srgbClr val="001400"/>
            </a:solidFill>
            <a:latin typeface="Lucida Bright" panose="02040602050505020304" pitchFamily="18" charset="0"/>
          </a:endParaRPr>
        </a:p>
      </xdr:txBody>
    </xdr:sp>
    <xdr:clientData/>
  </xdr:twoCellAnchor>
  <xdr:twoCellAnchor>
    <xdr:from>
      <xdr:col>25</xdr:col>
      <xdr:colOff>508000</xdr:colOff>
      <xdr:row>1</xdr:row>
      <xdr:rowOff>162122</xdr:rowOff>
    </xdr:from>
    <xdr:to>
      <xdr:col>30</xdr:col>
      <xdr:colOff>349250</xdr:colOff>
      <xdr:row>7</xdr:row>
      <xdr:rowOff>126999</xdr:rowOff>
    </xdr:to>
    <xdr:sp macro="" textlink="">
      <xdr:nvSpPr>
        <xdr:cNvPr id="14" name="Rectangle: Rounded Corners 13">
          <a:extLst>
            <a:ext uri="{FF2B5EF4-FFF2-40B4-BE49-F238E27FC236}">
              <a16:creationId xmlns:a16="http://schemas.microsoft.com/office/drawing/2014/main" id="{B766B984-AFBD-4972-A7A0-C7227727E76C}"/>
            </a:ext>
          </a:extLst>
        </xdr:cNvPr>
        <xdr:cNvSpPr/>
      </xdr:nvSpPr>
      <xdr:spPr>
        <a:xfrm>
          <a:off x="17272000" y="360242"/>
          <a:ext cx="3194050" cy="1153597"/>
        </a:xfrm>
        <a:prstGeom prst="roundRect">
          <a:avLst>
            <a:gd name="adj" fmla="val 6637"/>
          </a:avLst>
        </a:prstGeom>
        <a:noFill/>
        <a:ln w="28575">
          <a:solidFill>
            <a:srgbClr val="0014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AVG Brain Weight:</a:t>
          </a:r>
        </a:p>
        <a:p>
          <a:pPr algn="l"/>
          <a:r>
            <a:rPr lang="en-US" sz="3600" b="1" u="sng">
              <a:solidFill>
                <a:srgbClr val="001400"/>
              </a:solidFill>
              <a:latin typeface="Lucida Bright" panose="02040602050505020304" pitchFamily="18" charset="0"/>
            </a:rPr>
            <a:t>282.13</a:t>
          </a:r>
          <a:endParaRPr lang="en-US" sz="1200" b="1" u="sng">
            <a:solidFill>
              <a:srgbClr val="001400"/>
            </a:solidFill>
            <a:latin typeface="Lucida Bright" panose="02040602050505020304" pitchFamily="18" charset="0"/>
          </a:endParaRPr>
        </a:p>
      </xdr:txBody>
    </xdr:sp>
    <xdr:clientData/>
  </xdr:twoCellAnchor>
  <xdr:twoCellAnchor>
    <xdr:from>
      <xdr:col>29</xdr:col>
      <xdr:colOff>55319</xdr:colOff>
      <xdr:row>4</xdr:row>
      <xdr:rowOff>34293</xdr:rowOff>
    </xdr:from>
    <xdr:to>
      <xdr:col>29</xdr:col>
      <xdr:colOff>664024</xdr:colOff>
      <xdr:row>7</xdr:row>
      <xdr:rowOff>56110</xdr:rowOff>
    </xdr:to>
    <xdr:pic>
      <xdr:nvPicPr>
        <xdr:cNvPr id="15" name="Graphic 14" descr="Brain with solid fill">
          <a:extLst>
            <a:ext uri="{FF2B5EF4-FFF2-40B4-BE49-F238E27FC236}">
              <a16:creationId xmlns:a16="http://schemas.microsoft.com/office/drawing/2014/main" id="{06449E83-C2AC-417B-9843-DB4E7720B4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501559" y="826773"/>
          <a:ext cx="608705" cy="616177"/>
        </a:xfrm>
        <a:prstGeom prst="rect">
          <a:avLst/>
        </a:prstGeom>
      </xdr:spPr>
    </xdr:pic>
    <xdr:clientData/>
  </xdr:twoCellAnchor>
  <xdr:twoCellAnchor>
    <xdr:from>
      <xdr:col>30</xdr:col>
      <xdr:colOff>443483</xdr:colOff>
      <xdr:row>1</xdr:row>
      <xdr:rowOff>164158</xdr:rowOff>
    </xdr:from>
    <xdr:to>
      <xdr:col>34</xdr:col>
      <xdr:colOff>460375</xdr:colOff>
      <xdr:row>7</xdr:row>
      <xdr:rowOff>127000</xdr:rowOff>
    </xdr:to>
    <xdr:sp macro="" textlink="">
      <xdr:nvSpPr>
        <xdr:cNvPr id="16" name="Rectangle 60">
          <a:extLst>
            <a:ext uri="{FF2B5EF4-FFF2-40B4-BE49-F238E27FC236}">
              <a16:creationId xmlns:a16="http://schemas.microsoft.com/office/drawing/2014/main" id="{AF786CD4-61F6-478C-99DF-203BF2FBBB2E}"/>
            </a:ext>
          </a:extLst>
        </xdr:cNvPr>
        <xdr:cNvSpPr/>
      </xdr:nvSpPr>
      <xdr:spPr>
        <a:xfrm>
          <a:off x="20560283" y="362278"/>
          <a:ext cx="2699132" cy="1151562"/>
        </a:xfrm>
        <a:prstGeom prst="roundRect">
          <a:avLst>
            <a:gd name="adj" fmla="val 6618"/>
          </a:avLst>
        </a:prstGeom>
        <a:noFill/>
        <a:ln w="28575">
          <a:solidFill>
            <a:srgbClr val="0014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AVG Life Span:</a:t>
          </a:r>
        </a:p>
        <a:p>
          <a:pPr algn="l"/>
          <a:r>
            <a:rPr lang="en-US" sz="3600" b="1" u="sng">
              <a:solidFill>
                <a:srgbClr val="001400"/>
              </a:solidFill>
              <a:latin typeface="Lucida Bright" panose="02040602050505020304" pitchFamily="18" charset="0"/>
            </a:rPr>
            <a:t>19.88</a:t>
          </a:r>
          <a:endParaRPr lang="en-US" sz="1200" b="1" u="sng">
            <a:solidFill>
              <a:srgbClr val="001400"/>
            </a:solidFill>
            <a:latin typeface="Lucida Bright" panose="02040602050505020304" pitchFamily="18" charset="0"/>
          </a:endParaRPr>
        </a:p>
      </xdr:txBody>
    </xdr:sp>
    <xdr:clientData/>
  </xdr:twoCellAnchor>
  <xdr:twoCellAnchor>
    <xdr:from>
      <xdr:col>32</xdr:col>
      <xdr:colOff>647383</xdr:colOff>
      <xdr:row>3</xdr:row>
      <xdr:rowOff>166694</xdr:rowOff>
    </xdr:from>
    <xdr:to>
      <xdr:col>33</xdr:col>
      <xdr:colOff>635673</xdr:colOff>
      <xdr:row>7</xdr:row>
      <xdr:rowOff>106677</xdr:rowOff>
    </xdr:to>
    <xdr:pic>
      <xdr:nvPicPr>
        <xdr:cNvPr id="17" name="Graphic 16" descr="Ruler with solid fill">
          <a:extLst>
            <a:ext uri="{FF2B5EF4-FFF2-40B4-BE49-F238E27FC236}">
              <a16:creationId xmlns:a16="http://schemas.microsoft.com/office/drawing/2014/main" id="{875B3982-AAF4-4CE5-A2CF-BC00467D5E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321330">
          <a:off x="22105303" y="761054"/>
          <a:ext cx="658850" cy="732463"/>
        </a:xfrm>
        <a:prstGeom prst="roundRect">
          <a:avLst/>
        </a:prstGeom>
      </xdr:spPr>
    </xdr:pic>
    <xdr:clientData/>
  </xdr:twoCellAnchor>
  <xdr:twoCellAnchor>
    <xdr:from>
      <xdr:col>36</xdr:col>
      <xdr:colOff>635000</xdr:colOff>
      <xdr:row>8</xdr:row>
      <xdr:rowOff>44195</xdr:rowOff>
    </xdr:from>
    <xdr:to>
      <xdr:col>43</xdr:col>
      <xdr:colOff>555624</xdr:colOff>
      <xdr:row>14</xdr:row>
      <xdr:rowOff>34240</xdr:rowOff>
    </xdr:to>
    <xdr:sp macro="" textlink="">
      <xdr:nvSpPr>
        <xdr:cNvPr id="18" name="Rectangle: Rounded Corners 17">
          <a:extLst>
            <a:ext uri="{FF2B5EF4-FFF2-40B4-BE49-F238E27FC236}">
              <a16:creationId xmlns:a16="http://schemas.microsoft.com/office/drawing/2014/main" id="{6E1648CF-2E1E-4931-8518-8CBBB70A2B0D}"/>
            </a:ext>
          </a:extLst>
        </xdr:cNvPr>
        <xdr:cNvSpPr/>
      </xdr:nvSpPr>
      <xdr:spPr>
        <a:xfrm>
          <a:off x="24775160" y="1629155"/>
          <a:ext cx="4614544" cy="1178765"/>
        </a:xfrm>
        <a:prstGeom prst="roundRect">
          <a:avLst>
            <a:gd name="adj" fmla="val 6859"/>
          </a:avLst>
        </a:prstGeom>
        <a:noFill/>
        <a:ln w="28575">
          <a:solidFill>
            <a:srgbClr val="0014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Most Occuring Danger Index:</a:t>
          </a:r>
        </a:p>
        <a:p>
          <a:pPr algn="l"/>
          <a:r>
            <a:rPr lang="en-US" sz="3600" b="1" u="sng">
              <a:solidFill>
                <a:srgbClr val="001400"/>
              </a:solidFill>
              <a:latin typeface="Lucida Bright" panose="02040602050505020304" pitchFamily="18" charset="0"/>
            </a:rPr>
            <a:t>1</a:t>
          </a:r>
          <a:endParaRPr lang="en-US" sz="1200" b="1" u="sng">
            <a:solidFill>
              <a:srgbClr val="001400"/>
            </a:solidFill>
            <a:latin typeface="Lucida Bright" panose="02040602050505020304" pitchFamily="18" charset="0"/>
          </a:endParaRPr>
        </a:p>
      </xdr:txBody>
    </xdr:sp>
    <xdr:clientData/>
  </xdr:twoCellAnchor>
  <xdr:twoCellAnchor>
    <xdr:from>
      <xdr:col>42</xdr:col>
      <xdr:colOff>181709</xdr:colOff>
      <xdr:row>10</xdr:row>
      <xdr:rowOff>174625</xdr:rowOff>
    </xdr:from>
    <xdr:to>
      <xdr:col>43</xdr:col>
      <xdr:colOff>164387</xdr:colOff>
      <xdr:row>13</xdr:row>
      <xdr:rowOff>127873</xdr:rowOff>
    </xdr:to>
    <xdr:pic>
      <xdr:nvPicPr>
        <xdr:cNvPr id="19" name="Graphic 18" descr="Warning with solid fill">
          <a:extLst>
            <a:ext uri="{FF2B5EF4-FFF2-40B4-BE49-F238E27FC236}">
              <a16:creationId xmlns:a16="http://schemas.microsoft.com/office/drawing/2014/main" id="{4CD9E8C5-32BE-42FB-B4FA-23F028B7AD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345229" y="2155825"/>
          <a:ext cx="653238" cy="547608"/>
        </a:xfrm>
        <a:prstGeom prst="rect">
          <a:avLst/>
        </a:prstGeom>
      </xdr:spPr>
    </xdr:pic>
    <xdr:clientData/>
  </xdr:twoCellAnchor>
  <xdr:twoCellAnchor>
    <xdr:from>
      <xdr:col>34</xdr:col>
      <xdr:colOff>549003</xdr:colOff>
      <xdr:row>1</xdr:row>
      <xdr:rowOff>162166</xdr:rowOff>
    </xdr:from>
    <xdr:to>
      <xdr:col>39</xdr:col>
      <xdr:colOff>31750</xdr:colOff>
      <xdr:row>7</xdr:row>
      <xdr:rowOff>126999</xdr:rowOff>
    </xdr:to>
    <xdr:sp macro="" textlink="">
      <xdr:nvSpPr>
        <xdr:cNvPr id="20" name="Rectangle: Rounded Corners 19">
          <a:extLst>
            <a:ext uri="{FF2B5EF4-FFF2-40B4-BE49-F238E27FC236}">
              <a16:creationId xmlns:a16="http://schemas.microsoft.com/office/drawing/2014/main" id="{A883A77E-D6C7-4251-8169-74E2803F431A}"/>
            </a:ext>
          </a:extLst>
        </xdr:cNvPr>
        <xdr:cNvSpPr/>
      </xdr:nvSpPr>
      <xdr:spPr>
        <a:xfrm>
          <a:off x="23348043" y="360286"/>
          <a:ext cx="2835547" cy="1153553"/>
        </a:xfrm>
        <a:prstGeom prst="roundRect">
          <a:avLst>
            <a:gd name="adj" fmla="val 6636"/>
          </a:avLst>
        </a:prstGeom>
        <a:noFill/>
        <a:ln w="28575">
          <a:solidFill>
            <a:srgbClr val="0014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AVG Gestation:</a:t>
          </a:r>
        </a:p>
        <a:p>
          <a:pPr algn="l"/>
          <a:r>
            <a:rPr lang="en-US" sz="3600" b="1" u="sng">
              <a:solidFill>
                <a:srgbClr val="001400"/>
              </a:solidFill>
              <a:latin typeface="Lucida Bright" panose="02040602050505020304" pitchFamily="18" charset="0"/>
            </a:rPr>
            <a:t>142.35</a:t>
          </a:r>
          <a:endParaRPr lang="en-US" sz="1200" b="1" u="sng">
            <a:solidFill>
              <a:srgbClr val="001400"/>
            </a:solidFill>
            <a:latin typeface="Lucida Bright" panose="02040602050505020304" pitchFamily="18" charset="0"/>
          </a:endParaRPr>
        </a:p>
      </xdr:txBody>
    </xdr:sp>
    <xdr:clientData/>
  </xdr:twoCellAnchor>
  <xdr:twoCellAnchor>
    <xdr:from>
      <xdr:col>37</xdr:col>
      <xdr:colOff>482010</xdr:colOff>
      <xdr:row>4</xdr:row>
      <xdr:rowOff>69171</xdr:rowOff>
    </xdr:from>
    <xdr:to>
      <xdr:col>38</xdr:col>
      <xdr:colOff>358044</xdr:colOff>
      <xdr:row>7</xdr:row>
      <xdr:rowOff>47625</xdr:rowOff>
    </xdr:to>
    <xdr:pic>
      <xdr:nvPicPr>
        <xdr:cNvPr id="21" name="Graphic 20" descr="Fishbowl with solid fill">
          <a:extLst>
            <a:ext uri="{FF2B5EF4-FFF2-40B4-BE49-F238E27FC236}">
              <a16:creationId xmlns:a16="http://schemas.microsoft.com/office/drawing/2014/main" id="{9C73D32F-DE3A-4629-BBC2-1915B230F15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292730" y="861651"/>
          <a:ext cx="546594" cy="572814"/>
        </a:xfrm>
        <a:prstGeom prst="roundRect">
          <a:avLst/>
        </a:prstGeom>
      </xdr:spPr>
    </xdr:pic>
    <xdr:clientData/>
  </xdr:twoCellAnchor>
  <xdr:twoCellAnchor>
    <xdr:from>
      <xdr:col>4</xdr:col>
      <xdr:colOff>450827</xdr:colOff>
      <xdr:row>45</xdr:row>
      <xdr:rowOff>31749</xdr:rowOff>
    </xdr:from>
    <xdr:to>
      <xdr:col>15</xdr:col>
      <xdr:colOff>571501</xdr:colOff>
      <xdr:row>70</xdr:row>
      <xdr:rowOff>142874</xdr:rowOff>
    </xdr:to>
    <xdr:graphicFrame macro="">
      <xdr:nvGraphicFramePr>
        <xdr:cNvPr id="22" name="Chart 21">
          <a:extLst>
            <a:ext uri="{FF2B5EF4-FFF2-40B4-BE49-F238E27FC236}">
              <a16:creationId xmlns:a16="http://schemas.microsoft.com/office/drawing/2014/main" id="{CD804841-A471-4C74-92E8-59157567A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174625</xdr:colOff>
      <xdr:row>8</xdr:row>
      <xdr:rowOff>45498</xdr:rowOff>
    </xdr:from>
    <xdr:to>
      <xdr:col>36</xdr:col>
      <xdr:colOff>508000</xdr:colOff>
      <xdr:row>14</xdr:row>
      <xdr:rowOff>36295</xdr:rowOff>
    </xdr:to>
    <xdr:sp macro="" textlink="">
      <xdr:nvSpPr>
        <xdr:cNvPr id="23" name="Rectangle: Rounded Corners 22">
          <a:extLst>
            <a:ext uri="{FF2B5EF4-FFF2-40B4-BE49-F238E27FC236}">
              <a16:creationId xmlns:a16="http://schemas.microsoft.com/office/drawing/2014/main" id="{7BA221EC-17E9-482C-9F3C-380294D735C3}"/>
            </a:ext>
          </a:extLst>
        </xdr:cNvPr>
        <xdr:cNvSpPr/>
      </xdr:nvSpPr>
      <xdr:spPr>
        <a:xfrm>
          <a:off x="18950305" y="1630458"/>
          <a:ext cx="5697855" cy="1179517"/>
        </a:xfrm>
        <a:prstGeom prst="roundRect">
          <a:avLst>
            <a:gd name="adj" fmla="val 7000"/>
          </a:avLst>
        </a:prstGeom>
        <a:noFill/>
        <a:ln w="28575">
          <a:solidFill>
            <a:srgbClr val="0014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001400"/>
              </a:solidFill>
              <a:latin typeface="Bodoni MT" panose="02070603080606020203" pitchFamily="18" charset="0"/>
            </a:rPr>
            <a:t>Most Occuring Sleep Exposure Index:</a:t>
          </a:r>
        </a:p>
        <a:p>
          <a:pPr algn="l"/>
          <a:r>
            <a:rPr lang="en-US" sz="3600" b="1" u="sng">
              <a:solidFill>
                <a:srgbClr val="001400"/>
              </a:solidFill>
              <a:latin typeface="Lucida Bright" panose="02040602050505020304" pitchFamily="18" charset="0"/>
            </a:rPr>
            <a:t>1</a:t>
          </a:r>
          <a:endParaRPr lang="en-US" sz="1200" b="1" u="sng">
            <a:solidFill>
              <a:srgbClr val="001400"/>
            </a:solidFill>
            <a:latin typeface="Lucida Bright" panose="02040602050505020304" pitchFamily="18" charset="0"/>
          </a:endParaRPr>
        </a:p>
      </xdr:txBody>
    </xdr:sp>
    <xdr:clientData/>
  </xdr:twoCellAnchor>
  <xdr:twoCellAnchor>
    <xdr:from>
      <xdr:col>34</xdr:col>
      <xdr:colOff>279006</xdr:colOff>
      <xdr:row>10</xdr:row>
      <xdr:rowOff>2180</xdr:rowOff>
    </xdr:from>
    <xdr:to>
      <xdr:col>35</xdr:col>
      <xdr:colOff>525674</xdr:colOff>
      <xdr:row>14</xdr:row>
      <xdr:rowOff>83403</xdr:rowOff>
    </xdr:to>
    <xdr:pic>
      <xdr:nvPicPr>
        <xdr:cNvPr id="24" name="Graphic 23" descr="Sleep with solid fill">
          <a:extLst>
            <a:ext uri="{FF2B5EF4-FFF2-40B4-BE49-F238E27FC236}">
              <a16:creationId xmlns:a16="http://schemas.microsoft.com/office/drawing/2014/main" id="{6A66AD79-8809-4CE2-86E5-086BC21A83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23078046" y="1983380"/>
          <a:ext cx="917228" cy="873703"/>
        </a:xfrm>
        <a:prstGeom prst="roundRect">
          <a:avLst/>
        </a:prstGeom>
      </xdr:spPr>
    </xdr:pic>
    <xdr:clientData/>
  </xdr:twoCellAnchor>
  <xdr:twoCellAnchor>
    <xdr:from>
      <xdr:col>35</xdr:col>
      <xdr:colOff>528101</xdr:colOff>
      <xdr:row>11</xdr:row>
      <xdr:rowOff>32162</xdr:rowOff>
    </xdr:from>
    <xdr:to>
      <xdr:col>36</xdr:col>
      <xdr:colOff>293339</xdr:colOff>
      <xdr:row>13</xdr:row>
      <xdr:rowOff>32938</xdr:rowOff>
    </xdr:to>
    <xdr:pic>
      <xdr:nvPicPr>
        <xdr:cNvPr id="25" name="Graphic 24" descr="Warning with solid fill">
          <a:extLst>
            <a:ext uri="{FF2B5EF4-FFF2-40B4-BE49-F238E27FC236}">
              <a16:creationId xmlns:a16="http://schemas.microsoft.com/office/drawing/2014/main" id="{F0068CE4-7E5A-4762-B069-37E5E3BCAB3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3997701" y="2211482"/>
          <a:ext cx="435798" cy="397016"/>
        </a:xfrm>
        <a:prstGeom prst="roundRect">
          <a:avLst/>
        </a:prstGeom>
      </xdr:spPr>
    </xdr:pic>
    <xdr:clientData/>
  </xdr:twoCellAnchor>
  <xdr:twoCellAnchor>
    <xdr:from>
      <xdr:col>1</xdr:col>
      <xdr:colOff>195337</xdr:colOff>
      <xdr:row>19</xdr:row>
      <xdr:rowOff>3520</xdr:rowOff>
    </xdr:from>
    <xdr:to>
      <xdr:col>3</xdr:col>
      <xdr:colOff>47625</xdr:colOff>
      <xdr:row>21</xdr:row>
      <xdr:rowOff>111125</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4107F5B4-44D6-4946-8346-7510B6B0800D}"/>
            </a:ext>
          </a:extLst>
        </xdr:cNvPr>
        <xdr:cNvSpPr txBox="1"/>
      </xdr:nvSpPr>
      <xdr:spPr>
        <a:xfrm>
          <a:off x="865897" y="3767800"/>
          <a:ext cx="1193408" cy="50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1400"/>
              </a:solidFill>
              <a:latin typeface="Bodoni MT" panose="02070603080606020203" pitchFamily="18" charset="0"/>
            </a:rPr>
            <a:t>About</a:t>
          </a:r>
        </a:p>
      </xdr:txBody>
    </xdr:sp>
    <xdr:clientData/>
  </xdr:twoCellAnchor>
  <xdr:twoCellAnchor>
    <xdr:from>
      <xdr:col>0</xdr:col>
      <xdr:colOff>363019</xdr:colOff>
      <xdr:row>34</xdr:row>
      <xdr:rowOff>116000</xdr:rowOff>
    </xdr:from>
    <xdr:to>
      <xdr:col>3</xdr:col>
      <xdr:colOff>523875</xdr:colOff>
      <xdr:row>37</xdr:row>
      <xdr:rowOff>-1</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DF40CBFC-6882-4898-8F41-522541C4013D}"/>
            </a:ext>
          </a:extLst>
        </xdr:cNvPr>
        <xdr:cNvSpPr txBox="1"/>
      </xdr:nvSpPr>
      <xdr:spPr>
        <a:xfrm>
          <a:off x="363019" y="6852080"/>
          <a:ext cx="2172536" cy="47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baseline="0">
              <a:solidFill>
                <a:srgbClr val="001400"/>
              </a:solidFill>
              <a:latin typeface="Bodoni MT" panose="02070603080606020203" pitchFamily="18" charset="0"/>
            </a:rPr>
            <a:t>Next Steps </a:t>
          </a:r>
          <a:endParaRPr lang="en-US" sz="2800" b="1">
            <a:solidFill>
              <a:srgbClr val="001400"/>
            </a:solidFill>
            <a:latin typeface="Bodoni MT" panose="02070603080606020203" pitchFamily="18" charset="0"/>
          </a:endParaRPr>
        </a:p>
      </xdr:txBody>
    </xdr:sp>
    <xdr:clientData/>
  </xdr:twoCellAnchor>
  <xdr:twoCellAnchor>
    <xdr:from>
      <xdr:col>1</xdr:col>
      <xdr:colOff>6</xdr:colOff>
      <xdr:row>43</xdr:row>
      <xdr:rowOff>11823</xdr:rowOff>
    </xdr:from>
    <xdr:to>
      <xdr:col>3</xdr:col>
      <xdr:colOff>381000</xdr:colOff>
      <xdr:row>46</xdr:row>
      <xdr:rowOff>79374</xdr:rowOff>
    </xdr:to>
    <xdr:sp macro="" textlink="">
      <xdr:nvSpPr>
        <xdr:cNvPr id="28" name="TextBox 27">
          <a:hlinkClick xmlns:r="http://schemas.openxmlformats.org/officeDocument/2006/relationships" r:id="rId20"/>
          <a:extLst>
            <a:ext uri="{FF2B5EF4-FFF2-40B4-BE49-F238E27FC236}">
              <a16:creationId xmlns:a16="http://schemas.microsoft.com/office/drawing/2014/main" id="{D806A354-DCB9-4ED1-81D6-84C113CD6404}"/>
            </a:ext>
          </a:extLst>
        </xdr:cNvPr>
        <xdr:cNvSpPr txBox="1"/>
      </xdr:nvSpPr>
      <xdr:spPr>
        <a:xfrm>
          <a:off x="670566" y="8530983"/>
          <a:ext cx="1722114" cy="661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rgbClr val="001400"/>
              </a:solidFill>
              <a:latin typeface="Bodoni MT" panose="02070603080606020203" pitchFamily="18" charset="0"/>
            </a:rPr>
            <a:t>Enquiries</a:t>
          </a:r>
          <a:endParaRPr lang="en-US" sz="2800" b="1">
            <a:solidFill>
              <a:srgbClr val="001400"/>
            </a:solidFill>
            <a:latin typeface="Bodoni MT" panose="02070603080606020203" pitchFamily="18" charset="0"/>
          </a:endParaRPr>
        </a:p>
      </xdr:txBody>
    </xdr:sp>
    <xdr:clientData/>
  </xdr:twoCellAnchor>
  <xdr:twoCellAnchor>
    <xdr:from>
      <xdr:col>19</xdr:col>
      <xdr:colOff>601611</xdr:colOff>
      <xdr:row>17</xdr:row>
      <xdr:rowOff>9220</xdr:rowOff>
    </xdr:from>
    <xdr:to>
      <xdr:col>31</xdr:col>
      <xdr:colOff>142875</xdr:colOff>
      <xdr:row>43</xdr:row>
      <xdr:rowOff>0</xdr:rowOff>
    </xdr:to>
    <xdr:graphicFrame macro="">
      <xdr:nvGraphicFramePr>
        <xdr:cNvPr id="29" name="Chart 28">
          <a:extLst>
            <a:ext uri="{FF2B5EF4-FFF2-40B4-BE49-F238E27FC236}">
              <a16:creationId xmlns:a16="http://schemas.microsoft.com/office/drawing/2014/main" id="{2E213D3E-05A6-4C25-9D73-245BD3E9A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31</xdr:col>
      <xdr:colOff>506127</xdr:colOff>
      <xdr:row>17</xdr:row>
      <xdr:rowOff>17967</xdr:rowOff>
    </xdr:from>
    <xdr:to>
      <xdr:col>43</xdr:col>
      <xdr:colOff>31750</xdr:colOff>
      <xdr:row>43</xdr:row>
      <xdr:rowOff>0</xdr:rowOff>
    </xdr:to>
    <xdr:graphicFrame macro="">
      <xdr:nvGraphicFramePr>
        <xdr:cNvPr id="30" name="Chart 29">
          <a:extLst>
            <a:ext uri="{FF2B5EF4-FFF2-40B4-BE49-F238E27FC236}">
              <a16:creationId xmlns:a16="http://schemas.microsoft.com/office/drawing/2014/main" id="{965EA76E-3BDF-4ACE-A702-E49051A35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469714</xdr:colOff>
      <xdr:row>47</xdr:row>
      <xdr:rowOff>174625</xdr:rowOff>
    </xdr:from>
    <xdr:to>
      <xdr:col>3</xdr:col>
      <xdr:colOff>358590</xdr:colOff>
      <xdr:row>54</xdr:row>
      <xdr:rowOff>174625</xdr:rowOff>
    </xdr:to>
    <mc:AlternateContent xmlns:mc="http://schemas.openxmlformats.org/markup-compatibility/2006" xmlns:a14="http://schemas.microsoft.com/office/drawing/2010/main">
      <mc:Choice Requires="a14">
        <xdr:graphicFrame macro="">
          <xdr:nvGraphicFramePr>
            <xdr:cNvPr id="31" name="predation_index 1">
              <a:extLst>
                <a:ext uri="{FF2B5EF4-FFF2-40B4-BE49-F238E27FC236}">
                  <a16:creationId xmlns:a16="http://schemas.microsoft.com/office/drawing/2014/main" id="{CEF971E1-A25E-48E6-9618-40F247C9E221}"/>
                </a:ext>
              </a:extLst>
            </xdr:cNvPr>
            <xdr:cNvGraphicFramePr/>
          </xdr:nvGraphicFramePr>
          <xdr:xfrm>
            <a:off x="0" y="0"/>
            <a:ext cx="0" cy="0"/>
          </xdr:xfrm>
          <a:graphic>
            <a:graphicData uri="http://schemas.microsoft.com/office/drawing/2010/slicer">
              <sle:slicer xmlns:sle="http://schemas.microsoft.com/office/drawing/2010/slicer" name="predation_index 1"/>
            </a:graphicData>
          </a:graphic>
        </xdr:graphicFrame>
      </mc:Choice>
      <mc:Fallback xmlns="">
        <xdr:sp macro="" textlink="">
          <xdr:nvSpPr>
            <xdr:cNvPr id="0" name=""/>
            <xdr:cNvSpPr>
              <a:spLocks noTextEdit="1"/>
            </xdr:cNvSpPr>
          </xdr:nvSpPr>
          <xdr:spPr>
            <a:xfrm>
              <a:off x="469714" y="9128125"/>
              <a:ext cx="1889126"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467286</xdr:colOff>
      <xdr:row>55</xdr:row>
      <xdr:rowOff>174624</xdr:rowOff>
    </xdr:from>
    <xdr:to>
      <xdr:col>3</xdr:col>
      <xdr:colOff>356161</xdr:colOff>
      <xdr:row>62</xdr:row>
      <xdr:rowOff>158749</xdr:rowOff>
    </xdr:to>
    <mc:AlternateContent xmlns:mc="http://schemas.openxmlformats.org/markup-compatibility/2006" xmlns:a14="http://schemas.microsoft.com/office/drawing/2010/main">
      <mc:Choice Requires="a14">
        <xdr:graphicFrame macro="">
          <xdr:nvGraphicFramePr>
            <xdr:cNvPr id="32" name="sleep_exposure_index 1">
              <a:extLst>
                <a:ext uri="{FF2B5EF4-FFF2-40B4-BE49-F238E27FC236}">
                  <a16:creationId xmlns:a16="http://schemas.microsoft.com/office/drawing/2014/main" id="{D6BBEBD6-6661-4A96-A28E-4E6E72B4032A}"/>
                </a:ext>
              </a:extLst>
            </xdr:cNvPr>
            <xdr:cNvGraphicFramePr/>
          </xdr:nvGraphicFramePr>
          <xdr:xfrm>
            <a:off x="0" y="0"/>
            <a:ext cx="0" cy="0"/>
          </xdr:xfrm>
          <a:graphic>
            <a:graphicData uri="http://schemas.microsoft.com/office/drawing/2010/slicer">
              <sle:slicer xmlns:sle="http://schemas.microsoft.com/office/drawing/2010/slicer" name="sleep_exposure_index 1"/>
            </a:graphicData>
          </a:graphic>
        </xdr:graphicFrame>
      </mc:Choice>
      <mc:Fallback xmlns="">
        <xdr:sp macro="" textlink="">
          <xdr:nvSpPr>
            <xdr:cNvPr id="0" name=""/>
            <xdr:cNvSpPr>
              <a:spLocks noTextEdit="1"/>
            </xdr:cNvSpPr>
          </xdr:nvSpPr>
          <xdr:spPr>
            <a:xfrm>
              <a:off x="467286" y="10652124"/>
              <a:ext cx="1889125" cy="131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466165</xdr:colOff>
      <xdr:row>63</xdr:row>
      <xdr:rowOff>158750</xdr:rowOff>
    </xdr:from>
    <xdr:to>
      <xdr:col>3</xdr:col>
      <xdr:colOff>358588</xdr:colOff>
      <xdr:row>70</xdr:row>
      <xdr:rowOff>142874</xdr:rowOff>
    </xdr:to>
    <mc:AlternateContent xmlns:mc="http://schemas.openxmlformats.org/markup-compatibility/2006" xmlns:a14="http://schemas.microsoft.com/office/drawing/2010/main">
      <mc:Choice Requires="a14">
        <xdr:graphicFrame macro="">
          <xdr:nvGraphicFramePr>
            <xdr:cNvPr id="33" name="danger_index 1">
              <a:extLst>
                <a:ext uri="{FF2B5EF4-FFF2-40B4-BE49-F238E27FC236}">
                  <a16:creationId xmlns:a16="http://schemas.microsoft.com/office/drawing/2014/main" id="{A633230F-4E8A-44CD-8695-5275214F6FB6}"/>
                </a:ext>
              </a:extLst>
            </xdr:cNvPr>
            <xdr:cNvGraphicFramePr/>
          </xdr:nvGraphicFramePr>
          <xdr:xfrm>
            <a:off x="0" y="0"/>
            <a:ext cx="0" cy="0"/>
          </xdr:xfrm>
          <a:graphic>
            <a:graphicData uri="http://schemas.microsoft.com/office/drawing/2010/slicer">
              <sle:slicer xmlns:sle="http://schemas.microsoft.com/office/drawing/2010/slicer" name="danger_index 1"/>
            </a:graphicData>
          </a:graphic>
        </xdr:graphicFrame>
      </mc:Choice>
      <mc:Fallback xmlns="">
        <xdr:sp macro="" textlink="">
          <xdr:nvSpPr>
            <xdr:cNvPr id="0" name=""/>
            <xdr:cNvSpPr>
              <a:spLocks noTextEdit="1"/>
            </xdr:cNvSpPr>
          </xdr:nvSpPr>
          <xdr:spPr>
            <a:xfrm>
              <a:off x="466165" y="12160250"/>
              <a:ext cx="1892673" cy="1317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158750</xdr:colOff>
      <xdr:row>45</xdr:row>
      <xdr:rowOff>39453</xdr:rowOff>
    </xdr:from>
    <xdr:to>
      <xdr:col>43</xdr:col>
      <xdr:colOff>47626</xdr:colOff>
      <xdr:row>70</xdr:row>
      <xdr:rowOff>142875</xdr:rowOff>
    </xdr:to>
    <xdr:graphicFrame macro="">
      <xdr:nvGraphicFramePr>
        <xdr:cNvPr id="34" name="Chart 33">
          <a:extLst>
            <a:ext uri="{FF2B5EF4-FFF2-40B4-BE49-F238E27FC236}">
              <a16:creationId xmlns:a16="http://schemas.microsoft.com/office/drawing/2014/main" id="{7E8E9709-B35F-4478-8CF5-C3550C7C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268853</xdr:colOff>
      <xdr:row>45</xdr:row>
      <xdr:rowOff>31125</xdr:rowOff>
    </xdr:from>
    <xdr:to>
      <xdr:col>27</xdr:col>
      <xdr:colOff>444500</xdr:colOff>
      <xdr:row>70</xdr:row>
      <xdr:rowOff>142874</xdr:rowOff>
    </xdr:to>
    <xdr:graphicFrame macro="">
      <xdr:nvGraphicFramePr>
        <xdr:cNvPr id="35" name="Chart 34">
          <a:extLst>
            <a:ext uri="{FF2B5EF4-FFF2-40B4-BE49-F238E27FC236}">
              <a16:creationId xmlns:a16="http://schemas.microsoft.com/office/drawing/2014/main" id="{F444F5AD-B751-44A6-A3D1-DFB3EDA94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508001</xdr:colOff>
      <xdr:row>70</xdr:row>
      <xdr:rowOff>132601</xdr:rowOff>
    </xdr:from>
    <xdr:to>
      <xdr:col>3</xdr:col>
      <xdr:colOff>534185</xdr:colOff>
      <xdr:row>72</xdr:row>
      <xdr:rowOff>158750</xdr:rowOff>
    </xdr:to>
    <xdr:sp macro="" textlink="">
      <xdr:nvSpPr>
        <xdr:cNvPr id="36" name="TextBox 35">
          <a:extLst>
            <a:ext uri="{FF2B5EF4-FFF2-40B4-BE49-F238E27FC236}">
              <a16:creationId xmlns:a16="http://schemas.microsoft.com/office/drawing/2014/main" id="{38AAD10E-112E-4DCC-A8C6-726927E55AE3}"/>
            </a:ext>
          </a:extLst>
        </xdr:cNvPr>
        <xdr:cNvSpPr txBox="1"/>
      </xdr:nvSpPr>
      <xdr:spPr>
        <a:xfrm>
          <a:off x="508001" y="14001001"/>
          <a:ext cx="2037864" cy="42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1400"/>
              </a:solidFill>
              <a:latin typeface="Bodoni MT" panose="02070603080606020203" pitchFamily="18" charset="0"/>
            </a:rPr>
            <a:t>By Enna Analytics</a:t>
          </a:r>
          <a:endParaRPr lang="en-US" sz="1600" b="1">
            <a:solidFill>
              <a:srgbClr val="001400"/>
            </a:solidFill>
            <a:latin typeface="Bodoni MT" panose="02070603080606020203" pitchFamily="18" charset="0"/>
          </a:endParaRPr>
        </a:p>
      </xdr:txBody>
    </xdr:sp>
    <xdr:clientData/>
  </xdr:twoCellAnchor>
  <xdr:twoCellAnchor>
    <xdr:from>
      <xdr:col>6</xdr:col>
      <xdr:colOff>498856</xdr:colOff>
      <xdr:row>48</xdr:row>
      <xdr:rowOff>84069</xdr:rowOff>
    </xdr:from>
    <xdr:to>
      <xdr:col>14</xdr:col>
      <xdr:colOff>603249</xdr:colOff>
      <xdr:row>52</xdr:row>
      <xdr:rowOff>111125</xdr:rowOff>
    </xdr:to>
    <xdr:sp macro="" textlink="">
      <xdr:nvSpPr>
        <xdr:cNvPr id="37" name="TextBox 36">
          <a:extLst>
            <a:ext uri="{FF2B5EF4-FFF2-40B4-BE49-F238E27FC236}">
              <a16:creationId xmlns:a16="http://schemas.microsoft.com/office/drawing/2014/main" id="{731F1B10-9563-4C68-BD3F-DBFC8D825832}"/>
            </a:ext>
          </a:extLst>
        </xdr:cNvPr>
        <xdr:cNvSpPr txBox="1"/>
      </xdr:nvSpPr>
      <xdr:spPr>
        <a:xfrm>
          <a:off x="4522216" y="9593829"/>
          <a:ext cx="5468873" cy="819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US" sz="1800" b="0" i="0">
              <a:solidFill>
                <a:srgbClr val="E2AC00"/>
              </a:solidFill>
              <a:effectLst/>
              <a:latin typeface="+mn-lt"/>
              <a:ea typeface="+mn-ea"/>
              <a:cs typeface="+mn-cs"/>
            </a:rPr>
            <a:t>1 = </a:t>
          </a:r>
          <a:r>
            <a:rPr lang="en-US" sz="2000" b="0" i="0">
              <a:solidFill>
                <a:srgbClr val="E2AC00"/>
              </a:solidFill>
              <a:effectLst/>
              <a:latin typeface="+mn-lt"/>
              <a:ea typeface="+mn-ea"/>
              <a:cs typeface="+mn-cs"/>
            </a:rPr>
            <a:t>Minimum (Least likely to be preyed upon)</a:t>
          </a:r>
          <a:endParaRPr lang="en-US" sz="2000">
            <a:solidFill>
              <a:srgbClr val="E2AC00"/>
            </a:solidFill>
            <a:effectLst/>
          </a:endParaRPr>
        </a:p>
        <a:p>
          <a:pPr fontAlgn="base"/>
          <a:r>
            <a:rPr lang="en-US" sz="2000" b="0" i="0">
              <a:solidFill>
                <a:srgbClr val="E2AC00"/>
              </a:solidFill>
              <a:effectLst/>
              <a:latin typeface="+mn-lt"/>
              <a:ea typeface="+mn-ea"/>
              <a:cs typeface="+mn-cs"/>
            </a:rPr>
            <a:t>5 = Maximum (Most likely to be preyed upon)</a:t>
          </a:r>
          <a:endParaRPr lang="en-US" sz="2000">
            <a:solidFill>
              <a:srgbClr val="E2AC00"/>
            </a:solidFill>
            <a:effectLst/>
          </a:endParaRPr>
        </a:p>
      </xdr:txBody>
    </xdr:sp>
    <xdr:clientData/>
  </xdr:twoCellAnchor>
  <xdr:twoCellAnchor>
    <xdr:from>
      <xdr:col>19</xdr:col>
      <xdr:colOff>53705</xdr:colOff>
      <xdr:row>48</xdr:row>
      <xdr:rowOff>89266</xdr:rowOff>
    </xdr:from>
    <xdr:to>
      <xdr:col>25</xdr:col>
      <xdr:colOff>301624</xdr:colOff>
      <xdr:row>52</xdr:row>
      <xdr:rowOff>95250</xdr:rowOff>
    </xdr:to>
    <xdr:sp macro="" textlink="">
      <xdr:nvSpPr>
        <xdr:cNvPr id="38" name="TextBox 37">
          <a:extLst>
            <a:ext uri="{FF2B5EF4-FFF2-40B4-BE49-F238E27FC236}">
              <a16:creationId xmlns:a16="http://schemas.microsoft.com/office/drawing/2014/main" id="{17D37D9E-EA45-4DE3-ABC0-4F387CBA185D}"/>
            </a:ext>
          </a:extLst>
        </xdr:cNvPr>
        <xdr:cNvSpPr txBox="1"/>
      </xdr:nvSpPr>
      <xdr:spPr>
        <a:xfrm>
          <a:off x="12794345" y="9599026"/>
          <a:ext cx="4271279" cy="798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US" sz="2000" b="0" i="0">
              <a:solidFill>
                <a:srgbClr val="E2AC00"/>
              </a:solidFill>
              <a:effectLst/>
              <a:latin typeface="+mn-lt"/>
              <a:ea typeface="+mn-ea"/>
              <a:cs typeface="+mn-cs"/>
            </a:rPr>
            <a:t>1 = Least Danger</a:t>
          </a:r>
          <a:r>
            <a:rPr lang="en-US" sz="2000" b="0" i="0" baseline="0">
              <a:solidFill>
                <a:srgbClr val="E2AC00"/>
              </a:solidFill>
              <a:effectLst/>
              <a:latin typeface="+mn-lt"/>
              <a:ea typeface="+mn-ea"/>
              <a:cs typeface="+mn-cs"/>
            </a:rPr>
            <a:t> (From most animals</a:t>
          </a:r>
          <a:r>
            <a:rPr lang="en-US" sz="2000" b="0" i="0">
              <a:solidFill>
                <a:srgbClr val="E2AC00"/>
              </a:solidFill>
              <a:effectLst/>
              <a:latin typeface="+mn-lt"/>
              <a:ea typeface="+mn-ea"/>
              <a:cs typeface="+mn-cs"/>
            </a:rPr>
            <a:t>)</a:t>
          </a:r>
          <a:endParaRPr lang="en-US" sz="2000">
            <a:solidFill>
              <a:srgbClr val="E2AC00"/>
            </a:solidFill>
            <a:effectLst/>
          </a:endParaRPr>
        </a:p>
        <a:p>
          <a:pPr fontAlgn="base"/>
          <a:r>
            <a:rPr lang="en-US" sz="2000" b="0" i="0">
              <a:solidFill>
                <a:srgbClr val="E2AC00"/>
              </a:solidFill>
              <a:effectLst/>
              <a:latin typeface="+mn-lt"/>
              <a:ea typeface="+mn-ea"/>
              <a:cs typeface="+mn-cs"/>
            </a:rPr>
            <a:t>5 = Most Danger (From most animals)</a:t>
          </a:r>
          <a:endParaRPr lang="en-US" sz="2000">
            <a:solidFill>
              <a:srgbClr val="E2AC00"/>
            </a:solidFill>
            <a:effectLst/>
          </a:endParaRPr>
        </a:p>
      </xdr:txBody>
    </xdr:sp>
    <xdr:clientData/>
  </xdr:twoCellAnchor>
  <xdr:twoCellAnchor>
    <xdr:from>
      <xdr:col>30</xdr:col>
      <xdr:colOff>395173</xdr:colOff>
      <xdr:row>48</xdr:row>
      <xdr:rowOff>101678</xdr:rowOff>
    </xdr:from>
    <xdr:to>
      <xdr:col>40</xdr:col>
      <xdr:colOff>428625</xdr:colOff>
      <xdr:row>52</xdr:row>
      <xdr:rowOff>95249</xdr:rowOff>
    </xdr:to>
    <xdr:sp macro="" textlink="">
      <xdr:nvSpPr>
        <xdr:cNvPr id="39" name="TextBox 38">
          <a:extLst>
            <a:ext uri="{FF2B5EF4-FFF2-40B4-BE49-F238E27FC236}">
              <a16:creationId xmlns:a16="http://schemas.microsoft.com/office/drawing/2014/main" id="{C5FE926B-6682-4636-BE8B-716A12B414C1}"/>
            </a:ext>
          </a:extLst>
        </xdr:cNvPr>
        <xdr:cNvSpPr txBox="1"/>
      </xdr:nvSpPr>
      <xdr:spPr>
        <a:xfrm>
          <a:off x="20511973" y="9611438"/>
          <a:ext cx="6739052" cy="786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US" sz="2000" b="0" i="0">
              <a:solidFill>
                <a:srgbClr val="E2AC00"/>
              </a:solidFill>
              <a:effectLst/>
              <a:latin typeface="+mn-lt"/>
              <a:ea typeface="+mn-ea"/>
              <a:cs typeface="+mn-cs"/>
            </a:rPr>
            <a:t>1 = Least Exposed (E.g.,</a:t>
          </a:r>
          <a:r>
            <a:rPr lang="en-US" sz="2000" b="0" i="0" baseline="0">
              <a:solidFill>
                <a:srgbClr val="E2AC00"/>
              </a:solidFill>
              <a:effectLst/>
              <a:latin typeface="+mn-lt"/>
              <a:ea typeface="+mn-ea"/>
              <a:cs typeface="+mn-cs"/>
            </a:rPr>
            <a:t> Animal sleeps in a well protected den</a:t>
          </a:r>
          <a:r>
            <a:rPr lang="en-US" sz="2000" b="0" i="0">
              <a:solidFill>
                <a:srgbClr val="E2AC00"/>
              </a:solidFill>
              <a:effectLst/>
              <a:latin typeface="+mn-lt"/>
              <a:ea typeface="+mn-ea"/>
              <a:cs typeface="+mn-cs"/>
            </a:rPr>
            <a:t>)</a:t>
          </a:r>
          <a:endParaRPr lang="en-US" sz="2000">
            <a:solidFill>
              <a:srgbClr val="E2AC00"/>
            </a:solidFill>
            <a:effectLst/>
          </a:endParaRPr>
        </a:p>
        <a:p>
          <a:pPr fontAlgn="base"/>
          <a:r>
            <a:rPr lang="en-US" sz="2000" b="0" i="0">
              <a:solidFill>
                <a:srgbClr val="E2AC00"/>
              </a:solidFill>
              <a:effectLst/>
              <a:latin typeface="+mn-lt"/>
              <a:ea typeface="+mn-ea"/>
              <a:cs typeface="+mn-cs"/>
            </a:rPr>
            <a:t>5 = Most Exposed</a:t>
          </a:r>
          <a:endParaRPr lang="en-US" sz="2000">
            <a:solidFill>
              <a:srgbClr val="E2AC00"/>
            </a:solidFill>
            <a:effectLst/>
          </a:endParaRPr>
        </a:p>
      </xdr:txBody>
    </xdr:sp>
    <xdr:clientData/>
  </xdr:twoCellAnchor>
  <xdr:twoCellAnchor>
    <xdr:from>
      <xdr:col>32</xdr:col>
      <xdr:colOff>293573</xdr:colOff>
      <xdr:row>16</xdr:row>
      <xdr:rowOff>127079</xdr:rowOff>
    </xdr:from>
    <xdr:to>
      <xdr:col>42</xdr:col>
      <xdr:colOff>333375</xdr:colOff>
      <xdr:row>19</xdr:row>
      <xdr:rowOff>142875</xdr:rowOff>
    </xdr:to>
    <xdr:sp macro="" textlink="">
      <xdr:nvSpPr>
        <xdr:cNvPr id="40" name="TextBox 39">
          <a:extLst>
            <a:ext uri="{FF2B5EF4-FFF2-40B4-BE49-F238E27FC236}">
              <a16:creationId xmlns:a16="http://schemas.microsoft.com/office/drawing/2014/main" id="{4C9E81CB-F3AC-4682-87EC-6C6D8FE8B96B}"/>
            </a:ext>
          </a:extLst>
        </xdr:cNvPr>
        <xdr:cNvSpPr txBox="1"/>
      </xdr:nvSpPr>
      <xdr:spPr>
        <a:xfrm>
          <a:off x="21751493" y="3296999"/>
          <a:ext cx="6745402" cy="610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3200" b="1" i="0" baseline="0">
              <a:solidFill>
                <a:srgbClr val="E2AC00"/>
              </a:solidFill>
              <a:effectLst/>
              <a:latin typeface="Bodoni MT" panose="02070603080606020203" pitchFamily="18" charset="0"/>
              <a:ea typeface="+mn-ea"/>
              <a:cs typeface="+mn-cs"/>
            </a:rPr>
            <a:t>Gestation Time vs. Life Span Analysis</a:t>
          </a:r>
          <a:endParaRPr lang="en-US" sz="3200">
            <a:solidFill>
              <a:srgbClr val="E2AC00"/>
            </a:solidFill>
            <a:effectLst/>
            <a:latin typeface="Bodoni MT" panose="02070603080606020203" pitchFamily="18" charset="0"/>
          </a:endParaRPr>
        </a:p>
      </xdr:txBody>
    </xdr:sp>
    <xdr:clientData/>
  </xdr:twoCellAnchor>
  <xdr:twoCellAnchor>
    <xdr:from>
      <xdr:col>5</xdr:col>
      <xdr:colOff>49097</xdr:colOff>
      <xdr:row>44</xdr:row>
      <xdr:rowOff>184229</xdr:rowOff>
    </xdr:from>
    <xdr:to>
      <xdr:col>15</xdr:col>
      <xdr:colOff>301624</xdr:colOff>
      <xdr:row>48</xdr:row>
      <xdr:rowOff>9525</xdr:rowOff>
    </xdr:to>
    <xdr:sp macro="" textlink="">
      <xdr:nvSpPr>
        <xdr:cNvPr id="41" name="TextBox 40">
          <a:extLst>
            <a:ext uri="{FF2B5EF4-FFF2-40B4-BE49-F238E27FC236}">
              <a16:creationId xmlns:a16="http://schemas.microsoft.com/office/drawing/2014/main" id="{30F29C21-7EA3-4DFD-8533-A59299BE368B}"/>
            </a:ext>
          </a:extLst>
        </xdr:cNvPr>
        <xdr:cNvSpPr txBox="1"/>
      </xdr:nvSpPr>
      <xdr:spPr>
        <a:xfrm>
          <a:off x="3401897" y="8901509"/>
          <a:ext cx="6958127" cy="61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3200" b="1" i="0" baseline="0">
              <a:solidFill>
                <a:srgbClr val="E2AC00"/>
              </a:solidFill>
              <a:effectLst/>
              <a:latin typeface="Bodoni MT" panose="02070603080606020203" pitchFamily="18" charset="0"/>
              <a:ea typeface="+mn-ea"/>
              <a:cs typeface="+mn-cs"/>
            </a:rPr>
            <a:t>Predation Index vs. Total Sleep Analysis</a:t>
          </a:r>
          <a:endParaRPr lang="en-US" sz="3200">
            <a:solidFill>
              <a:srgbClr val="E2AC00"/>
            </a:solidFill>
            <a:effectLst/>
            <a:latin typeface="Bodoni MT" panose="02070603080606020203" pitchFamily="18" charset="0"/>
          </a:endParaRPr>
        </a:p>
      </xdr:txBody>
    </xdr:sp>
    <xdr:clientData/>
  </xdr:twoCellAnchor>
  <xdr:twoCellAnchor>
    <xdr:from>
      <xdr:col>17</xdr:col>
      <xdr:colOff>106248</xdr:colOff>
      <xdr:row>44</xdr:row>
      <xdr:rowOff>177879</xdr:rowOff>
    </xdr:from>
    <xdr:to>
      <xdr:col>26</xdr:col>
      <xdr:colOff>619126</xdr:colOff>
      <xdr:row>48</xdr:row>
      <xdr:rowOff>3175</xdr:rowOff>
    </xdr:to>
    <xdr:sp macro="" textlink="">
      <xdr:nvSpPr>
        <xdr:cNvPr id="42" name="TextBox 41">
          <a:extLst>
            <a:ext uri="{FF2B5EF4-FFF2-40B4-BE49-F238E27FC236}">
              <a16:creationId xmlns:a16="http://schemas.microsoft.com/office/drawing/2014/main" id="{8BBDF8F0-7BAD-4F51-9D88-01E359D541C8}"/>
            </a:ext>
          </a:extLst>
        </xdr:cNvPr>
        <xdr:cNvSpPr txBox="1"/>
      </xdr:nvSpPr>
      <xdr:spPr>
        <a:xfrm>
          <a:off x="11505768" y="8895159"/>
          <a:ext cx="6547918" cy="61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3200" b="1" i="0" baseline="0">
              <a:solidFill>
                <a:srgbClr val="E2AC00"/>
              </a:solidFill>
              <a:effectLst/>
              <a:latin typeface="Bodoni MT" panose="02070603080606020203" pitchFamily="18" charset="0"/>
              <a:ea typeface="+mn-ea"/>
              <a:cs typeface="+mn-cs"/>
            </a:rPr>
            <a:t>Danger Index vs. Total Sleep Analysis</a:t>
          </a:r>
          <a:endParaRPr lang="en-US" sz="3200">
            <a:solidFill>
              <a:srgbClr val="E2AC00"/>
            </a:solidFill>
            <a:effectLst/>
            <a:latin typeface="Bodoni MT" panose="02070603080606020203" pitchFamily="18" charset="0"/>
          </a:endParaRPr>
        </a:p>
      </xdr:txBody>
    </xdr:sp>
    <xdr:clientData/>
  </xdr:twoCellAnchor>
  <xdr:twoCellAnchor editAs="oneCell">
    <xdr:from>
      <xdr:col>24</xdr:col>
      <xdr:colOff>31750</xdr:colOff>
      <xdr:row>4</xdr:row>
      <xdr:rowOff>47625</xdr:rowOff>
    </xdr:from>
    <xdr:to>
      <xdr:col>25</xdr:col>
      <xdr:colOff>127470</xdr:colOff>
      <xdr:row>7</xdr:row>
      <xdr:rowOff>95251</xdr:rowOff>
    </xdr:to>
    <xdr:pic>
      <xdr:nvPicPr>
        <xdr:cNvPr id="43" name="Graphic 42" descr="Scales of justice with solid fill">
          <a:extLst>
            <a:ext uri="{FF2B5EF4-FFF2-40B4-BE49-F238E27FC236}">
              <a16:creationId xmlns:a16="http://schemas.microsoft.com/office/drawing/2014/main" id="{99388020-AA95-4BC1-843B-59B97C486E1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125190" y="840105"/>
          <a:ext cx="766280" cy="641986"/>
        </a:xfrm>
        <a:prstGeom prst="rect">
          <a:avLst/>
        </a:prstGeom>
      </xdr:spPr>
    </xdr:pic>
    <xdr:clientData/>
  </xdr:twoCellAnchor>
  <xdr:twoCellAnchor editAs="oneCell">
    <xdr:from>
      <xdr:col>1</xdr:col>
      <xdr:colOff>350745</xdr:colOff>
      <xdr:row>30</xdr:row>
      <xdr:rowOff>155390</xdr:rowOff>
    </xdr:from>
    <xdr:to>
      <xdr:col>2</xdr:col>
      <xdr:colOff>466167</xdr:colOff>
      <xdr:row>34</xdr:row>
      <xdr:rowOff>179821</xdr:rowOff>
    </xdr:to>
    <xdr:pic>
      <xdr:nvPicPr>
        <xdr:cNvPr id="44" name="Picture 43">
          <a:extLst>
            <a:ext uri="{FF2B5EF4-FFF2-40B4-BE49-F238E27FC236}">
              <a16:creationId xmlns:a16="http://schemas.microsoft.com/office/drawing/2014/main" id="{698310C7-0BB5-44EE-B48C-AFD0E85E9D94}"/>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021305" y="6098990"/>
          <a:ext cx="785982" cy="816911"/>
        </a:xfrm>
        <a:prstGeom prst="rect">
          <a:avLst/>
        </a:prstGeom>
      </xdr:spPr>
    </xdr:pic>
    <xdr:clientData/>
  </xdr:twoCellAnchor>
  <xdr:twoCellAnchor editAs="oneCell">
    <xdr:from>
      <xdr:col>1</xdr:col>
      <xdr:colOff>383614</xdr:colOff>
      <xdr:row>39</xdr:row>
      <xdr:rowOff>61447</xdr:rowOff>
    </xdr:from>
    <xdr:to>
      <xdr:col>2</xdr:col>
      <xdr:colOff>436803</xdr:colOff>
      <xdr:row>43</xdr:row>
      <xdr:rowOff>19237</xdr:rowOff>
    </xdr:to>
    <xdr:pic>
      <xdr:nvPicPr>
        <xdr:cNvPr id="45" name="Picture 44">
          <a:extLst>
            <a:ext uri="{FF2B5EF4-FFF2-40B4-BE49-F238E27FC236}">
              <a16:creationId xmlns:a16="http://schemas.microsoft.com/office/drawing/2014/main" id="{B5B02ED3-707E-486E-AE9A-05F7955BDDDA}"/>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054174" y="7788127"/>
          <a:ext cx="723749" cy="750270"/>
        </a:xfrm>
        <a:prstGeom prst="rect">
          <a:avLst/>
        </a:prstGeom>
      </xdr:spPr>
    </xdr:pic>
    <xdr:clientData/>
  </xdr:twoCellAnchor>
  <xdr:twoCellAnchor editAs="oneCell">
    <xdr:from>
      <xdr:col>1</xdr:col>
      <xdr:colOff>379537</xdr:colOff>
      <xdr:row>23</xdr:row>
      <xdr:rowOff>44477</xdr:rowOff>
    </xdr:from>
    <xdr:to>
      <xdr:col>2</xdr:col>
      <xdr:colOff>457201</xdr:colOff>
      <xdr:row>27</xdr:row>
      <xdr:rowOff>30986</xdr:rowOff>
    </xdr:to>
    <xdr:pic>
      <xdr:nvPicPr>
        <xdr:cNvPr id="46" name="Picture 45">
          <a:extLst>
            <a:ext uri="{FF2B5EF4-FFF2-40B4-BE49-F238E27FC236}">
              <a16:creationId xmlns:a16="http://schemas.microsoft.com/office/drawing/2014/main" id="{351320B0-9E72-42DF-BBFC-AE35441665E6}"/>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050097" y="4601237"/>
          <a:ext cx="748224" cy="778989"/>
        </a:xfrm>
        <a:prstGeom prst="rect">
          <a:avLst/>
        </a:prstGeom>
      </xdr:spPr>
    </xdr:pic>
    <xdr:clientData/>
  </xdr:twoCellAnchor>
  <xdr:twoCellAnchor editAs="oneCell">
    <xdr:from>
      <xdr:col>1</xdr:col>
      <xdr:colOff>413128</xdr:colOff>
      <xdr:row>15</xdr:row>
      <xdr:rowOff>134471</xdr:rowOff>
    </xdr:from>
    <xdr:to>
      <xdr:col>2</xdr:col>
      <xdr:colOff>460376</xdr:colOff>
      <xdr:row>19</xdr:row>
      <xdr:rowOff>67496</xdr:rowOff>
    </xdr:to>
    <xdr:pic>
      <xdr:nvPicPr>
        <xdr:cNvPr id="47" name="Picture 46">
          <a:extLst>
            <a:ext uri="{FF2B5EF4-FFF2-40B4-BE49-F238E27FC236}">
              <a16:creationId xmlns:a16="http://schemas.microsoft.com/office/drawing/2014/main" id="{AA1C7261-67FA-4FA1-8F86-8972F0EAB04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083688" y="3106271"/>
          <a:ext cx="717808" cy="725505"/>
        </a:xfrm>
        <a:prstGeom prst="rect">
          <a:avLst/>
        </a:prstGeom>
      </xdr:spPr>
    </xdr:pic>
    <xdr:clientData/>
  </xdr:twoCellAnchor>
  <xdr:twoCellAnchor>
    <xdr:from>
      <xdr:col>0</xdr:col>
      <xdr:colOff>604418</xdr:colOff>
      <xdr:row>26</xdr:row>
      <xdr:rowOff>91142</xdr:rowOff>
    </xdr:from>
    <xdr:to>
      <xdr:col>3</xdr:col>
      <xdr:colOff>222249</xdr:colOff>
      <xdr:row>29</xdr:row>
      <xdr:rowOff>95249</xdr:rowOff>
    </xdr:to>
    <xdr:sp macro="" textlink="">
      <xdr:nvSpPr>
        <xdr:cNvPr id="48" name="TextBox 47">
          <a:hlinkClick xmlns:r="http://schemas.openxmlformats.org/officeDocument/2006/relationships" r:id="rId31"/>
          <a:extLst>
            <a:ext uri="{FF2B5EF4-FFF2-40B4-BE49-F238E27FC236}">
              <a16:creationId xmlns:a16="http://schemas.microsoft.com/office/drawing/2014/main" id="{CF620017-34EA-4C5B-858F-0FD4395DA059}"/>
            </a:ext>
          </a:extLst>
        </xdr:cNvPr>
        <xdr:cNvSpPr txBox="1"/>
      </xdr:nvSpPr>
      <xdr:spPr>
        <a:xfrm>
          <a:off x="604418" y="5242262"/>
          <a:ext cx="1629511" cy="598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rgbClr val="001400"/>
              </a:solidFill>
              <a:latin typeface="Bodoni MT" panose="02070603080606020203" pitchFamily="18" charset="0"/>
            </a:rPr>
            <a:t>Highlights</a:t>
          </a:r>
          <a:endParaRPr lang="en-US" sz="2800" b="1">
            <a:solidFill>
              <a:srgbClr val="001400"/>
            </a:solidFill>
            <a:latin typeface="Bodoni MT" panose="020706030806060202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259080</xdr:colOff>
      <xdr:row>1</xdr:row>
      <xdr:rowOff>7621</xdr:rowOff>
    </xdr:from>
    <xdr:to>
      <xdr:col>19</xdr:col>
      <xdr:colOff>640080</xdr:colOff>
      <xdr:row>28</xdr:row>
      <xdr:rowOff>144780</xdr:rowOff>
    </xdr:to>
    <xdr:sp macro="" textlink="">
      <xdr:nvSpPr>
        <xdr:cNvPr id="2" name="Rectangle 1">
          <a:extLst>
            <a:ext uri="{FF2B5EF4-FFF2-40B4-BE49-F238E27FC236}">
              <a16:creationId xmlns:a16="http://schemas.microsoft.com/office/drawing/2014/main" id="{8DDBD079-905B-441F-8809-883448D88092}"/>
            </a:ext>
          </a:extLst>
        </xdr:cNvPr>
        <xdr:cNvSpPr/>
      </xdr:nvSpPr>
      <xdr:spPr>
        <a:xfrm>
          <a:off x="259080" y="205741"/>
          <a:ext cx="13121640" cy="5486399"/>
        </a:xfrm>
        <a:prstGeom prst="rect">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001400"/>
              </a:solidFill>
              <a:latin typeface="Bodoni MT" panose="02070603080606020203" pitchFamily="18" charset="0"/>
            </a:rPr>
            <a:t>Observations</a:t>
          </a:r>
        </a:p>
        <a:p>
          <a:pPr algn="ctr"/>
          <a:endParaRPr lang="en-US" sz="1400" b="1">
            <a:solidFill>
              <a:srgbClr val="001400"/>
            </a:solidFill>
            <a:latin typeface="Bodoni MT" panose="02070603080606020203" pitchFamily="18" charset="0"/>
          </a:endParaRPr>
        </a:p>
        <a:p>
          <a:pPr algn="ctr"/>
          <a:endParaRPr lang="en-US" sz="2000" b="1">
            <a:solidFill>
              <a:srgbClr val="001400"/>
            </a:solidFill>
            <a:latin typeface="Bodoni MT" panose="02070603080606020203" pitchFamily="18" charset="0"/>
          </a:endParaRPr>
        </a:p>
        <a:p>
          <a:pPr lvl="1"/>
          <a:r>
            <a:rPr lang="en-US" sz="2000">
              <a:solidFill>
                <a:srgbClr val="001400"/>
              </a:solidFill>
            </a:rPr>
            <a:t>1. Bigger animals usually have bigger brains, but this doesn’t always mean they live much longer.</a:t>
          </a:r>
        </a:p>
        <a:p>
          <a:pPr lvl="1"/>
          <a:endParaRPr lang="en-US" sz="2000">
            <a:solidFill>
              <a:srgbClr val="001400"/>
            </a:solidFill>
          </a:endParaRPr>
        </a:p>
        <a:p>
          <a:pPr lvl="1"/>
          <a:endParaRPr lang="en-US" sz="2000">
            <a:solidFill>
              <a:srgbClr val="001400"/>
            </a:solidFill>
          </a:endParaRPr>
        </a:p>
        <a:p>
          <a:pPr lvl="1"/>
          <a:r>
            <a:rPr lang="en-US" sz="2000">
              <a:solidFill>
                <a:srgbClr val="001400"/>
              </a:solidFill>
            </a:rPr>
            <a:t>2. Animals with longer pregnancy times (gestation) usually live longer, which makes sense because they take more time to grow before birth.</a:t>
          </a:r>
        </a:p>
        <a:p>
          <a:pPr lvl="1"/>
          <a:endParaRPr lang="en-US" sz="2000">
            <a:solidFill>
              <a:srgbClr val="001400"/>
            </a:solidFill>
          </a:endParaRPr>
        </a:p>
        <a:p>
          <a:pPr lvl="1"/>
          <a:endParaRPr lang="en-US" sz="2000">
            <a:solidFill>
              <a:srgbClr val="001400"/>
            </a:solidFill>
          </a:endParaRPr>
        </a:p>
        <a:p>
          <a:pPr lvl="1"/>
          <a:r>
            <a:rPr lang="en-US" sz="2000">
              <a:solidFill>
                <a:srgbClr val="001400"/>
              </a:solidFill>
            </a:rPr>
            <a:t>3. Animals that face more danger or predators seem to sleep less, probably to stay alert.</a:t>
          </a:r>
        </a:p>
        <a:p>
          <a:pPr lvl="1"/>
          <a:endParaRPr lang="en-US" sz="2000">
            <a:solidFill>
              <a:srgbClr val="001400"/>
            </a:solidFill>
          </a:endParaRPr>
        </a:p>
        <a:p>
          <a:pPr lvl="1"/>
          <a:endParaRPr lang="en-US" sz="2000">
            <a:solidFill>
              <a:srgbClr val="001400"/>
            </a:solidFill>
          </a:endParaRPr>
        </a:p>
        <a:p>
          <a:pPr lvl="1"/>
          <a:r>
            <a:rPr lang="en-US" sz="2000">
              <a:solidFill>
                <a:srgbClr val="001400"/>
              </a:solidFill>
            </a:rPr>
            <a:t>4. Animals that are more exposed (sleep exposure index is high) also sleep less, while safer animals sleep more.</a:t>
          </a:r>
        </a:p>
        <a:p>
          <a:pPr lvl="1"/>
          <a:endParaRPr lang="en-US" sz="2000">
            <a:solidFill>
              <a:srgbClr val="001400"/>
            </a:solidFill>
          </a:endParaRPr>
        </a:p>
        <a:p>
          <a:pPr lvl="1"/>
          <a:endParaRPr lang="en-US" sz="2000">
            <a:solidFill>
              <a:srgbClr val="001400"/>
            </a:solidFill>
          </a:endParaRPr>
        </a:p>
        <a:p>
          <a:pPr lvl="1"/>
          <a:r>
            <a:rPr lang="en-US" sz="2000">
              <a:solidFill>
                <a:srgbClr val="001400"/>
              </a:solidFill>
            </a:rPr>
            <a:t>5. Overall, sleep is connected to how safe the animal feels in its environment.</a:t>
          </a:r>
        </a:p>
        <a:p>
          <a:endParaRPr lang="en-US" sz="1200">
            <a:solidFill>
              <a:srgbClr val="0014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259080</xdr:colOff>
      <xdr:row>1</xdr:row>
      <xdr:rowOff>7621</xdr:rowOff>
    </xdr:from>
    <xdr:to>
      <xdr:col>20</xdr:col>
      <xdr:colOff>243840</xdr:colOff>
      <xdr:row>27</xdr:row>
      <xdr:rowOff>38100</xdr:rowOff>
    </xdr:to>
    <xdr:sp macro="" textlink="">
      <xdr:nvSpPr>
        <xdr:cNvPr id="2" name="Rectangle 1">
          <a:extLst>
            <a:ext uri="{FF2B5EF4-FFF2-40B4-BE49-F238E27FC236}">
              <a16:creationId xmlns:a16="http://schemas.microsoft.com/office/drawing/2014/main" id="{13C0FB53-BEE2-43C4-B2B8-38A35970EA94}"/>
            </a:ext>
          </a:extLst>
        </xdr:cNvPr>
        <xdr:cNvSpPr/>
      </xdr:nvSpPr>
      <xdr:spPr>
        <a:xfrm>
          <a:off x="259080" y="205741"/>
          <a:ext cx="13395960" cy="5181599"/>
        </a:xfrm>
        <a:prstGeom prst="rect">
          <a:avLst/>
        </a:prstGeom>
        <a:solidFill>
          <a:srgbClr val="001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b="1">
            <a:solidFill>
              <a:srgbClr val="E2AC00"/>
            </a:solidFill>
            <a:latin typeface="Bodoni MT" panose="02070603080606020203" pitchFamily="18" charset="0"/>
          </a:endParaRPr>
        </a:p>
        <a:p>
          <a:pPr algn="ctr"/>
          <a:r>
            <a:rPr lang="en-US" sz="2400" b="1">
              <a:solidFill>
                <a:srgbClr val="E2AC00"/>
              </a:solidFill>
              <a:latin typeface="Bodoni MT" panose="02070603080606020203" pitchFamily="18" charset="0"/>
            </a:rPr>
            <a:t>Recommendations</a:t>
          </a:r>
        </a:p>
        <a:p>
          <a:pPr algn="ctr"/>
          <a:endParaRPr lang="en-US" sz="1400" b="1">
            <a:solidFill>
              <a:srgbClr val="E2AC00"/>
            </a:solidFill>
            <a:latin typeface="Bodoni MT" panose="02070603080606020203" pitchFamily="18" charset="0"/>
          </a:endParaRPr>
        </a:p>
        <a:p>
          <a:pPr algn="ctr"/>
          <a:endParaRPr lang="en-US" sz="1400" b="1">
            <a:solidFill>
              <a:srgbClr val="E2AC00"/>
            </a:solidFill>
            <a:latin typeface="Bodoni MT" panose="02070603080606020203" pitchFamily="18" charset="0"/>
          </a:endParaRPr>
        </a:p>
        <a:p>
          <a:pPr lvl="1"/>
          <a:r>
            <a:rPr lang="en-US" sz="2000">
              <a:solidFill>
                <a:srgbClr val="E2AC00"/>
              </a:solidFill>
            </a:rPr>
            <a:t>1. Researchers should look more closely at how danger and predators affect sleep because this seems very important.</a:t>
          </a:r>
        </a:p>
        <a:p>
          <a:pPr lvl="1"/>
          <a:endParaRPr lang="en-US" sz="2000">
            <a:solidFill>
              <a:srgbClr val="E2AC00"/>
            </a:solidFill>
          </a:endParaRPr>
        </a:p>
        <a:p>
          <a:pPr lvl="1"/>
          <a:endParaRPr lang="en-US" sz="2000">
            <a:solidFill>
              <a:srgbClr val="E2AC00"/>
            </a:solidFill>
          </a:endParaRPr>
        </a:p>
        <a:p>
          <a:pPr lvl="1"/>
          <a:r>
            <a:rPr lang="en-US" sz="2000">
              <a:solidFill>
                <a:srgbClr val="E2AC00"/>
              </a:solidFill>
            </a:rPr>
            <a:t>2. The data shows that pregnancy time and lifespan are linked, so scientists could use this to study animal growth and survival better.</a:t>
          </a:r>
        </a:p>
        <a:p>
          <a:pPr lvl="1"/>
          <a:endParaRPr lang="en-US" sz="2000">
            <a:solidFill>
              <a:srgbClr val="E2AC00"/>
            </a:solidFill>
          </a:endParaRPr>
        </a:p>
        <a:p>
          <a:pPr lvl="1"/>
          <a:endParaRPr lang="en-US" sz="2000">
            <a:solidFill>
              <a:srgbClr val="E2AC00"/>
            </a:solidFill>
          </a:endParaRPr>
        </a:p>
        <a:p>
          <a:pPr lvl="1"/>
          <a:r>
            <a:rPr lang="en-US" sz="2000">
              <a:solidFill>
                <a:srgbClr val="E2AC00"/>
              </a:solidFill>
            </a:rPr>
            <a:t>3. More studies could check why some large animals don’t live as long even though they have big brains.</a:t>
          </a:r>
        </a:p>
        <a:p>
          <a:pPr lvl="1"/>
          <a:endParaRPr lang="en-US" sz="2000">
            <a:solidFill>
              <a:srgbClr val="E2AC00"/>
            </a:solidFill>
          </a:endParaRPr>
        </a:p>
        <a:p>
          <a:pPr lvl="1"/>
          <a:endParaRPr lang="en-US" sz="2000">
            <a:solidFill>
              <a:srgbClr val="E2AC00"/>
            </a:solidFill>
          </a:endParaRPr>
        </a:p>
        <a:p>
          <a:pPr lvl="1"/>
          <a:r>
            <a:rPr lang="en-US" sz="2000">
              <a:solidFill>
                <a:srgbClr val="E2AC00"/>
              </a:solidFill>
            </a:rPr>
            <a:t>4. This dashboard can be improved by adding more animal types to see if the same patterns continue.</a:t>
          </a:r>
        </a:p>
        <a:p>
          <a:endParaRPr lang="en-US" sz="1200">
            <a:solidFill>
              <a:srgbClr val="E2AC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198120</xdr:colOff>
      <xdr:row>1</xdr:row>
      <xdr:rowOff>7621</xdr:rowOff>
    </xdr:from>
    <xdr:to>
      <xdr:col>5</xdr:col>
      <xdr:colOff>411480</xdr:colOff>
      <xdr:row>32</xdr:row>
      <xdr:rowOff>121920</xdr:rowOff>
    </xdr:to>
    <xdr:sp macro="" textlink="">
      <xdr:nvSpPr>
        <xdr:cNvPr id="2" name="Rectangle 1">
          <a:extLst>
            <a:ext uri="{FF2B5EF4-FFF2-40B4-BE49-F238E27FC236}">
              <a16:creationId xmlns:a16="http://schemas.microsoft.com/office/drawing/2014/main" id="{9EA0C3A4-EF77-484E-B999-CDEACBF1EAE1}"/>
            </a:ext>
          </a:extLst>
        </xdr:cNvPr>
        <xdr:cNvSpPr/>
      </xdr:nvSpPr>
      <xdr:spPr>
        <a:xfrm>
          <a:off x="198120" y="205741"/>
          <a:ext cx="3566160" cy="6256019"/>
        </a:xfrm>
        <a:prstGeom prst="rect">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1400"/>
              </a:solidFill>
              <a:latin typeface="Bodoni MT" panose="02070603080606020203" pitchFamily="18" charset="0"/>
            </a:rPr>
            <a:t>Body Weight vs. Brain Weight</a:t>
          </a:r>
        </a:p>
        <a:p>
          <a:pPr algn="ctr"/>
          <a:endParaRPr lang="en-US" sz="1400" b="1">
            <a:solidFill>
              <a:srgbClr val="001400"/>
            </a:solidFill>
            <a:latin typeface="Bodoni MT" panose="02070603080606020203" pitchFamily="18" charset="0"/>
          </a:endParaRPr>
        </a:p>
        <a:p>
          <a:r>
            <a:rPr lang="en-US" sz="1400" b="1">
              <a:solidFill>
                <a:srgbClr val="001400"/>
              </a:solidFill>
            </a:rPr>
            <a:t>Observation</a:t>
          </a:r>
        </a:p>
        <a:p>
          <a:endParaRPr lang="en-US" sz="1400">
            <a:solidFill>
              <a:srgbClr val="001400"/>
            </a:solidFill>
          </a:endParaRPr>
        </a:p>
        <a:p>
          <a:r>
            <a:rPr lang="en-US" sz="1400">
              <a:solidFill>
                <a:srgbClr val="001400"/>
              </a:solidFill>
            </a:rPr>
            <a:t>- The chart shows a generally positive relationship: animals with higher body weight often have higher brain weight (large bars on both axes occur together).</a:t>
          </a:r>
        </a:p>
        <a:p>
          <a:r>
            <a:rPr lang="en-US" sz="1400">
              <a:solidFill>
                <a:srgbClr val="001400"/>
              </a:solidFill>
            </a:rPr>
            <a:t>- However there are clear exceptions/outliers: a few species with large body weight but relatively lower brain weight, and some smaller animals with disproportionately large brain weight.</a:t>
          </a:r>
        </a:p>
        <a:p>
          <a:r>
            <a:rPr lang="en-US" sz="1400">
              <a:solidFill>
                <a:srgbClr val="001400"/>
              </a:solidFill>
            </a:rPr>
            <a:t>- The distribution appears skewed (a few very large values and many smaller ones), suggesting a wide range of body and brain sizes.</a:t>
          </a:r>
        </a:p>
        <a:p>
          <a:endParaRPr lang="en-US" sz="1400">
            <a:solidFill>
              <a:srgbClr val="001400"/>
            </a:solidFill>
          </a:endParaRPr>
        </a:p>
        <a:p>
          <a:r>
            <a:rPr lang="en-US" sz="1400" b="1">
              <a:solidFill>
                <a:srgbClr val="001400"/>
              </a:solidFill>
            </a:rPr>
            <a:t>Pre-Insight</a:t>
          </a:r>
        </a:p>
        <a:p>
          <a:endParaRPr lang="en-US" sz="1400">
            <a:solidFill>
              <a:srgbClr val="001400"/>
            </a:solidFill>
          </a:endParaRPr>
        </a:p>
        <a:p>
          <a:r>
            <a:rPr lang="en-US" sz="1400">
              <a:solidFill>
                <a:srgbClr val="001400"/>
              </a:solidFill>
            </a:rPr>
            <a:t>- Overall correlation exists but is not perfect — body size is one driver of brain mass but not the only one (phylogeny, ecology, and metabolic factors matter).</a:t>
          </a:r>
        </a:p>
        <a:p>
          <a:r>
            <a:rPr lang="en-US" sz="1400">
              <a:solidFill>
                <a:srgbClr val="001400"/>
              </a:solidFill>
            </a:rPr>
            <a:t>- Outliers may indicate taxa with unusual brain-to-body ratios (primates, cetaceans, some birds/mammals) or data/units issues (mixing g/kg or errors).</a:t>
          </a:r>
        </a:p>
      </xdr:txBody>
    </xdr:sp>
    <xdr:clientData/>
  </xdr:twoCellAnchor>
  <xdr:twoCellAnchor>
    <xdr:from>
      <xdr:col>5</xdr:col>
      <xdr:colOff>647700</xdr:colOff>
      <xdr:row>1</xdr:row>
      <xdr:rowOff>15241</xdr:rowOff>
    </xdr:from>
    <xdr:to>
      <xdr:col>10</xdr:col>
      <xdr:colOff>480060</xdr:colOff>
      <xdr:row>32</xdr:row>
      <xdr:rowOff>129540</xdr:rowOff>
    </xdr:to>
    <xdr:sp macro="" textlink="">
      <xdr:nvSpPr>
        <xdr:cNvPr id="7" name="Rectangle 6">
          <a:extLst>
            <a:ext uri="{FF2B5EF4-FFF2-40B4-BE49-F238E27FC236}">
              <a16:creationId xmlns:a16="http://schemas.microsoft.com/office/drawing/2014/main" id="{02A63B98-D862-13EF-003A-AAC1EB7C2E3B}"/>
            </a:ext>
          </a:extLst>
        </xdr:cNvPr>
        <xdr:cNvSpPr/>
      </xdr:nvSpPr>
      <xdr:spPr>
        <a:xfrm>
          <a:off x="4000500" y="213361"/>
          <a:ext cx="3185160" cy="6256019"/>
        </a:xfrm>
        <a:prstGeom prst="rect">
          <a:avLst/>
        </a:prstGeom>
        <a:solidFill>
          <a:srgbClr val="001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E2AC00"/>
              </a:solidFill>
              <a:latin typeface="Bodoni MT" panose="02070603080606020203" pitchFamily="18" charset="0"/>
            </a:rPr>
            <a:t>Body Weight vs. Life Span</a:t>
          </a:r>
        </a:p>
        <a:p>
          <a:pPr algn="ctr"/>
          <a:endParaRPr lang="en-US" sz="1400" b="1">
            <a:solidFill>
              <a:srgbClr val="E2AC00"/>
            </a:solidFill>
            <a:latin typeface="Bodoni MT" panose="02070603080606020203" pitchFamily="18" charset="0"/>
          </a:endParaRPr>
        </a:p>
        <a:p>
          <a:r>
            <a:rPr lang="en-US" sz="1400" b="1">
              <a:solidFill>
                <a:srgbClr val="E2AC00"/>
              </a:solidFill>
            </a:rPr>
            <a:t>Observation</a:t>
          </a:r>
        </a:p>
        <a:p>
          <a:endParaRPr lang="en-US" sz="1400">
            <a:solidFill>
              <a:srgbClr val="E2AC00"/>
            </a:solidFill>
          </a:endParaRPr>
        </a:p>
        <a:p>
          <a:r>
            <a:rPr lang="en-US" sz="1400">
              <a:solidFill>
                <a:srgbClr val="E2AC00"/>
              </a:solidFill>
            </a:rPr>
            <a:t>- There is a tendency for larger body weights to associate with longer life spans in several data points, but the pattern is not strict — some heavy species have moderate lifespans and some light species have surprisingly long lives.</a:t>
          </a:r>
        </a:p>
        <a:p>
          <a:r>
            <a:rPr lang="en-US" sz="1400">
              <a:solidFill>
                <a:srgbClr val="E2AC00"/>
              </a:solidFill>
            </a:rPr>
            <a:t>- The data shows extremes (very long lifespans associated with certain sizes) and several mid-range clusters.</a:t>
          </a:r>
        </a:p>
        <a:p>
          <a:endParaRPr lang="en-US" sz="1400">
            <a:solidFill>
              <a:srgbClr val="E2AC00"/>
            </a:solidFill>
          </a:endParaRPr>
        </a:p>
        <a:p>
          <a:r>
            <a:rPr lang="en-US" sz="1400" b="1">
              <a:solidFill>
                <a:srgbClr val="E2AC00"/>
              </a:solidFill>
            </a:rPr>
            <a:t>Pre-Insight</a:t>
          </a:r>
        </a:p>
        <a:p>
          <a:endParaRPr lang="en-US" sz="1400">
            <a:solidFill>
              <a:srgbClr val="E2AC00"/>
            </a:solidFill>
          </a:endParaRPr>
        </a:p>
        <a:p>
          <a:r>
            <a:rPr lang="en-US" sz="1400">
              <a:solidFill>
                <a:srgbClr val="E2AC00"/>
              </a:solidFill>
            </a:rPr>
            <a:t>- </a:t>
          </a:r>
          <a:r>
            <a:rPr lang="en-US" sz="1400" b="0">
              <a:solidFill>
                <a:srgbClr val="E2AC00"/>
              </a:solidFill>
            </a:rPr>
            <a:t>Body size likely influences life span (metabolic theory predicts larger animals live longer), but many confounders (predation risk, reproductive strategy, captivity vs wild, species group) moderate the effect.</a:t>
          </a:r>
        </a:p>
        <a:p>
          <a:r>
            <a:rPr lang="en-US" sz="1400" b="0">
              <a:solidFill>
                <a:srgbClr val="E2AC00"/>
              </a:solidFill>
            </a:rPr>
            <a:t>- Points that deviate (small </a:t>
          </a:r>
          <a:r>
            <a:rPr lang="en-US" sz="1400">
              <a:solidFill>
                <a:srgbClr val="E2AC00"/>
              </a:solidFill>
            </a:rPr>
            <a:t>species with long life or large species with short life) should be examined for ecological context or data issues.</a:t>
          </a:r>
        </a:p>
      </xdr:txBody>
    </xdr:sp>
    <xdr:clientData/>
  </xdr:twoCellAnchor>
  <xdr:twoCellAnchor>
    <xdr:from>
      <xdr:col>11</xdr:col>
      <xdr:colOff>60960</xdr:colOff>
      <xdr:row>1</xdr:row>
      <xdr:rowOff>15241</xdr:rowOff>
    </xdr:from>
    <xdr:to>
      <xdr:col>14</xdr:col>
      <xdr:colOff>632460</xdr:colOff>
      <xdr:row>32</xdr:row>
      <xdr:rowOff>129540</xdr:rowOff>
    </xdr:to>
    <xdr:sp macro="" textlink="">
      <xdr:nvSpPr>
        <xdr:cNvPr id="8" name="Rectangle 7">
          <a:extLst>
            <a:ext uri="{FF2B5EF4-FFF2-40B4-BE49-F238E27FC236}">
              <a16:creationId xmlns:a16="http://schemas.microsoft.com/office/drawing/2014/main" id="{8D853589-665E-B9C3-6741-F31A6DA3D1C7}"/>
            </a:ext>
          </a:extLst>
        </xdr:cNvPr>
        <xdr:cNvSpPr/>
      </xdr:nvSpPr>
      <xdr:spPr>
        <a:xfrm>
          <a:off x="7437120" y="213361"/>
          <a:ext cx="2583180" cy="6256019"/>
        </a:xfrm>
        <a:prstGeom prst="rect">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1400"/>
              </a:solidFill>
              <a:latin typeface="Bodoni MT" panose="02070603080606020203" pitchFamily="18" charset="0"/>
            </a:rPr>
            <a:t>Gestation</a:t>
          </a:r>
          <a:r>
            <a:rPr lang="en-US" sz="1600" b="1" baseline="0">
              <a:solidFill>
                <a:srgbClr val="001400"/>
              </a:solidFill>
              <a:latin typeface="Bodoni MT" panose="02070603080606020203" pitchFamily="18" charset="0"/>
            </a:rPr>
            <a:t> Time </a:t>
          </a:r>
          <a:r>
            <a:rPr lang="en-US" sz="1600" b="1">
              <a:solidFill>
                <a:srgbClr val="001400"/>
              </a:solidFill>
              <a:latin typeface="Bodoni MT" panose="02070603080606020203" pitchFamily="18" charset="0"/>
            </a:rPr>
            <a:t>vs. Brain Weight</a:t>
          </a:r>
        </a:p>
        <a:p>
          <a:pPr algn="ctr"/>
          <a:endParaRPr lang="en-US" sz="1400" b="1">
            <a:solidFill>
              <a:srgbClr val="001400"/>
            </a:solidFill>
            <a:latin typeface="Bodoni MT" panose="02070603080606020203" pitchFamily="18" charset="0"/>
          </a:endParaRPr>
        </a:p>
        <a:p>
          <a:r>
            <a:rPr lang="en-US" sz="1400" b="1">
              <a:solidFill>
                <a:srgbClr val="001400"/>
              </a:solidFill>
            </a:rPr>
            <a:t>Observation</a:t>
          </a:r>
        </a:p>
        <a:p>
          <a:endParaRPr lang="en-US" sz="1400">
            <a:solidFill>
              <a:srgbClr val="001400"/>
            </a:solidFill>
          </a:endParaRPr>
        </a:p>
        <a:p>
          <a:r>
            <a:rPr lang="en-US" sz="1400">
              <a:solidFill>
                <a:srgbClr val="001400"/>
              </a:solidFill>
            </a:rPr>
            <a:t>- The chart suggests species with longer gestation times often have longer life spans (some long gestation bars align with high life span values).</a:t>
          </a:r>
        </a:p>
        <a:p>
          <a:r>
            <a:rPr lang="en-US" sz="1400">
              <a:solidFill>
                <a:srgbClr val="001400"/>
              </a:solidFill>
            </a:rPr>
            <a:t>- There’s variation — some species with moderate gestation still show high life spans, and vice versa.</a:t>
          </a:r>
        </a:p>
        <a:p>
          <a:endParaRPr lang="en-US" sz="1400" b="1">
            <a:solidFill>
              <a:srgbClr val="001400"/>
            </a:solidFill>
          </a:endParaRPr>
        </a:p>
        <a:p>
          <a:r>
            <a:rPr lang="en-US" sz="1400" b="1">
              <a:solidFill>
                <a:srgbClr val="001400"/>
              </a:solidFill>
            </a:rPr>
            <a:t>Pre-Insight</a:t>
          </a:r>
          <a:endParaRPr lang="en-US" sz="1400">
            <a:solidFill>
              <a:srgbClr val="001400"/>
            </a:solidFill>
          </a:endParaRPr>
        </a:p>
        <a:p>
          <a:endParaRPr lang="en-US" sz="1400">
            <a:solidFill>
              <a:srgbClr val="001400"/>
            </a:solidFill>
          </a:endParaRPr>
        </a:p>
        <a:p>
          <a:r>
            <a:rPr lang="en-US" sz="1400">
              <a:solidFill>
                <a:srgbClr val="001400"/>
              </a:solidFill>
            </a:rPr>
            <a:t>- Longer gestation is commonly associated with K-selected life histories (fewer offspring, longer maturation, longer lifespan). This chart supports that general expectation, but variability indicates other influences (predation, social systems, environmental pressures).</a:t>
          </a:r>
        </a:p>
      </xdr:txBody>
    </xdr:sp>
    <xdr:clientData/>
  </xdr:twoCellAnchor>
  <xdr:twoCellAnchor>
    <xdr:from>
      <xdr:col>15</xdr:col>
      <xdr:colOff>213360</xdr:colOff>
      <xdr:row>1</xdr:row>
      <xdr:rowOff>22861</xdr:rowOff>
    </xdr:from>
    <xdr:to>
      <xdr:col>20</xdr:col>
      <xdr:colOff>45720</xdr:colOff>
      <xdr:row>32</xdr:row>
      <xdr:rowOff>137160</xdr:rowOff>
    </xdr:to>
    <xdr:sp macro="" textlink="">
      <xdr:nvSpPr>
        <xdr:cNvPr id="9" name="Rectangle 8">
          <a:extLst>
            <a:ext uri="{FF2B5EF4-FFF2-40B4-BE49-F238E27FC236}">
              <a16:creationId xmlns:a16="http://schemas.microsoft.com/office/drawing/2014/main" id="{E59F1FAA-9E29-EEF0-EFD3-37BF58F1AABB}"/>
            </a:ext>
          </a:extLst>
        </xdr:cNvPr>
        <xdr:cNvSpPr/>
      </xdr:nvSpPr>
      <xdr:spPr>
        <a:xfrm>
          <a:off x="10271760" y="220981"/>
          <a:ext cx="3185160" cy="6256019"/>
        </a:xfrm>
        <a:prstGeom prst="rect">
          <a:avLst/>
        </a:prstGeom>
        <a:solidFill>
          <a:srgbClr val="001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E2AC00"/>
              </a:solidFill>
              <a:latin typeface="Bodoni MT" panose="02070603080606020203" pitchFamily="18" charset="0"/>
            </a:rPr>
            <a:t>Predation Index vs. Total</a:t>
          </a:r>
          <a:r>
            <a:rPr lang="en-US" sz="1600" b="1" baseline="0">
              <a:solidFill>
                <a:srgbClr val="E2AC00"/>
              </a:solidFill>
              <a:latin typeface="Bodoni MT" panose="02070603080606020203" pitchFamily="18" charset="0"/>
            </a:rPr>
            <a:t> Sleep</a:t>
          </a:r>
          <a:endParaRPr lang="en-US" sz="1600" b="1">
            <a:solidFill>
              <a:srgbClr val="E2AC00"/>
            </a:solidFill>
            <a:latin typeface="Bodoni MT" panose="02070603080606020203" pitchFamily="18" charset="0"/>
          </a:endParaRPr>
        </a:p>
        <a:p>
          <a:pPr algn="ctr"/>
          <a:endParaRPr lang="en-US" sz="1400" b="1">
            <a:solidFill>
              <a:srgbClr val="E2AC00"/>
            </a:solidFill>
            <a:latin typeface="Bodoni MT" panose="02070603080606020203" pitchFamily="18" charset="0"/>
          </a:endParaRPr>
        </a:p>
        <a:p>
          <a:r>
            <a:rPr lang="en-US" sz="1400" b="1">
              <a:solidFill>
                <a:srgbClr val="E2AC00"/>
              </a:solidFill>
            </a:rPr>
            <a:t>Observation</a:t>
          </a:r>
        </a:p>
        <a:p>
          <a:endParaRPr lang="en-US" sz="1400">
            <a:solidFill>
              <a:srgbClr val="E2AC00"/>
            </a:solidFill>
          </a:endParaRPr>
        </a:p>
        <a:p>
          <a:r>
            <a:rPr lang="en-US" sz="1400">
              <a:solidFill>
                <a:srgbClr val="E2AC00"/>
              </a:solidFill>
            </a:rPr>
            <a:t>- Total sleep differs by predation index values: one index value (index 2) shows the highest average total sleep (≈190.8), followed by index 1 (≈168.7). Higher numeric index values (e.g., 4,5) show lower total sleep (~71.6–88.6).</a:t>
          </a:r>
        </a:p>
        <a:p>
          <a:r>
            <a:rPr lang="en-US" sz="1400">
              <a:solidFill>
                <a:srgbClr val="E2AC00"/>
              </a:solidFill>
            </a:rPr>
            <a:t>- Pattern indicates </a:t>
          </a:r>
          <a:r>
            <a:rPr lang="en-US" sz="1400" b="1">
              <a:solidFill>
                <a:srgbClr val="E2AC00"/>
              </a:solidFill>
            </a:rPr>
            <a:t>an inverse trend</a:t>
          </a:r>
          <a:r>
            <a:rPr lang="en-US" sz="1400">
              <a:solidFill>
                <a:srgbClr val="E2AC00"/>
              </a:solidFill>
            </a:rPr>
            <a:t>: as the predation index number increases, total sleep tends to decline.</a:t>
          </a:r>
        </a:p>
        <a:p>
          <a:endParaRPr lang="en-US" sz="1400">
            <a:solidFill>
              <a:srgbClr val="E2AC00"/>
            </a:solidFill>
          </a:endParaRPr>
        </a:p>
        <a:p>
          <a:r>
            <a:rPr lang="en-US" sz="1400" b="1">
              <a:solidFill>
                <a:srgbClr val="E2AC00"/>
              </a:solidFill>
            </a:rPr>
            <a:t>Pre-Insight</a:t>
          </a:r>
          <a:endParaRPr lang="en-US" sz="1400">
            <a:solidFill>
              <a:srgbClr val="E2AC00"/>
            </a:solidFill>
          </a:endParaRPr>
        </a:p>
        <a:p>
          <a:endParaRPr lang="en-US" sz="1400">
            <a:solidFill>
              <a:srgbClr val="E2AC00"/>
            </a:solidFill>
          </a:endParaRPr>
        </a:p>
        <a:p>
          <a:r>
            <a:rPr lang="en-US" sz="1400">
              <a:solidFill>
                <a:srgbClr val="E2AC00"/>
              </a:solidFill>
            </a:rPr>
            <a:t>- If predation index increases with predator pressure, animals facing </a:t>
          </a:r>
          <a:r>
            <a:rPr lang="en-US" sz="1400" b="1">
              <a:solidFill>
                <a:srgbClr val="E2AC00"/>
              </a:solidFill>
            </a:rPr>
            <a:t>higher predation risk sleep less</a:t>
          </a:r>
          <a:r>
            <a:rPr lang="en-US" sz="1400">
              <a:solidFill>
                <a:srgbClr val="E2AC00"/>
              </a:solidFill>
            </a:rPr>
            <a:t> — consistent with behavioral ecology (more vigilance, fragmented sleep, less total sleep).</a:t>
          </a:r>
        </a:p>
        <a:p>
          <a:r>
            <a:rPr lang="en-US" sz="1400">
              <a:solidFill>
                <a:srgbClr val="E2AC00"/>
              </a:solidFill>
            </a:rPr>
            <a:t>- Alternatively, if index coding is reversed (1 = high predation), interpretation flips; therefore confirm index direction.</a:t>
          </a:r>
        </a:p>
      </xdr:txBody>
    </xdr:sp>
    <xdr:clientData/>
  </xdr:twoCellAnchor>
  <xdr:twoCellAnchor>
    <xdr:from>
      <xdr:col>20</xdr:col>
      <xdr:colOff>289560</xdr:colOff>
      <xdr:row>1</xdr:row>
      <xdr:rowOff>22861</xdr:rowOff>
    </xdr:from>
    <xdr:to>
      <xdr:col>24</xdr:col>
      <xdr:colOff>563880</xdr:colOff>
      <xdr:row>32</xdr:row>
      <xdr:rowOff>137160</xdr:rowOff>
    </xdr:to>
    <xdr:sp macro="" textlink="">
      <xdr:nvSpPr>
        <xdr:cNvPr id="10" name="Rectangle 9">
          <a:extLst>
            <a:ext uri="{FF2B5EF4-FFF2-40B4-BE49-F238E27FC236}">
              <a16:creationId xmlns:a16="http://schemas.microsoft.com/office/drawing/2014/main" id="{858B89D5-5504-FEED-9E73-2F38D9B29A00}"/>
            </a:ext>
          </a:extLst>
        </xdr:cNvPr>
        <xdr:cNvSpPr/>
      </xdr:nvSpPr>
      <xdr:spPr>
        <a:xfrm>
          <a:off x="13700760" y="220981"/>
          <a:ext cx="2956560" cy="6256019"/>
        </a:xfrm>
        <a:prstGeom prst="rect">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001400"/>
              </a:solidFill>
              <a:latin typeface="Bodoni MT" panose="02070603080606020203" pitchFamily="18" charset="0"/>
            </a:rPr>
            <a:t>Danger Index vs. Total Sleep</a:t>
          </a:r>
        </a:p>
        <a:p>
          <a:pPr algn="ctr"/>
          <a:endParaRPr lang="en-US" sz="1400" b="1">
            <a:solidFill>
              <a:srgbClr val="001400"/>
            </a:solidFill>
            <a:latin typeface="Bodoni MT" panose="02070603080606020203" pitchFamily="18" charset="0"/>
          </a:endParaRPr>
        </a:p>
        <a:p>
          <a:r>
            <a:rPr lang="en-US" sz="1400" b="1">
              <a:solidFill>
                <a:srgbClr val="001400"/>
              </a:solidFill>
            </a:rPr>
            <a:t>Observation</a:t>
          </a:r>
        </a:p>
        <a:p>
          <a:endParaRPr lang="en-US" sz="1400">
            <a:solidFill>
              <a:srgbClr val="001400"/>
            </a:solidFill>
          </a:endParaRPr>
        </a:p>
        <a:p>
          <a:r>
            <a:rPr lang="en-US" sz="1400">
              <a:solidFill>
                <a:srgbClr val="001400"/>
              </a:solidFill>
            </a:rPr>
            <a:t>- The danger index chart shows the highest total sleep when danger index = 1 (~235.5), then descending values for higher danger indices, with index 5 the lowest (~28.5).</a:t>
          </a:r>
        </a:p>
        <a:p>
          <a:r>
            <a:rPr lang="en-US" sz="1400">
              <a:solidFill>
                <a:srgbClr val="001400"/>
              </a:solidFill>
            </a:rPr>
            <a:t>- Clear monotonic decline: lower danger score → more total sleep; higher danger → less total sleep.</a:t>
          </a:r>
        </a:p>
        <a:p>
          <a:endParaRPr lang="en-US" sz="1400" b="1">
            <a:solidFill>
              <a:srgbClr val="001400"/>
            </a:solidFill>
          </a:endParaRPr>
        </a:p>
        <a:p>
          <a:r>
            <a:rPr lang="en-US" sz="1400" b="1">
              <a:solidFill>
                <a:srgbClr val="001400"/>
              </a:solidFill>
            </a:rPr>
            <a:t>Pre-Insight</a:t>
          </a:r>
          <a:endParaRPr lang="en-US" sz="1400">
            <a:solidFill>
              <a:srgbClr val="001400"/>
            </a:solidFill>
          </a:endParaRPr>
        </a:p>
        <a:p>
          <a:endParaRPr lang="en-US" sz="1400">
            <a:solidFill>
              <a:srgbClr val="001400"/>
            </a:solidFill>
          </a:endParaRPr>
        </a:p>
        <a:p>
          <a:r>
            <a:rPr lang="en-US" sz="1400">
              <a:solidFill>
                <a:srgbClr val="001400"/>
              </a:solidFill>
            </a:rPr>
            <a:t>- </a:t>
          </a:r>
          <a:r>
            <a:rPr lang="en-US" sz="1400" b="0">
              <a:solidFill>
                <a:srgbClr val="001400"/>
              </a:solidFill>
            </a:rPr>
            <a:t>This strongly suggests animals in safer environments (low danger index) get more total sleep. Conversely, animals in dangerous environments have reduced sleep durations — fits ecological expectations about vigilance and sleep tradeoffs.</a:t>
          </a:r>
        </a:p>
        <a:p>
          <a:r>
            <a:rPr lang="en-US" sz="1400">
              <a:solidFill>
                <a:srgbClr val="001400"/>
              </a:solidFill>
            </a:rPr>
            <a:t>- The strength of the pattern (large drop from index 1 to 5) suggests danger is a sizable predictor of sleep time.</a:t>
          </a:r>
        </a:p>
      </xdr:txBody>
    </xdr:sp>
    <xdr:clientData/>
  </xdr:twoCellAnchor>
  <xdr:twoCellAnchor>
    <xdr:from>
      <xdr:col>25</xdr:col>
      <xdr:colOff>152400</xdr:colOff>
      <xdr:row>1</xdr:row>
      <xdr:rowOff>30481</xdr:rowOff>
    </xdr:from>
    <xdr:to>
      <xdr:col>30</xdr:col>
      <xdr:colOff>449580</xdr:colOff>
      <xdr:row>32</xdr:row>
      <xdr:rowOff>144780</xdr:rowOff>
    </xdr:to>
    <xdr:sp macro="" textlink="">
      <xdr:nvSpPr>
        <xdr:cNvPr id="11" name="Rectangle 10">
          <a:extLst>
            <a:ext uri="{FF2B5EF4-FFF2-40B4-BE49-F238E27FC236}">
              <a16:creationId xmlns:a16="http://schemas.microsoft.com/office/drawing/2014/main" id="{14B556B4-BD8F-14D3-1D7A-456D57F68547}"/>
            </a:ext>
          </a:extLst>
        </xdr:cNvPr>
        <xdr:cNvSpPr/>
      </xdr:nvSpPr>
      <xdr:spPr>
        <a:xfrm>
          <a:off x="16916400" y="228601"/>
          <a:ext cx="3649980" cy="6256019"/>
        </a:xfrm>
        <a:prstGeom prst="rect">
          <a:avLst/>
        </a:prstGeom>
        <a:solidFill>
          <a:srgbClr val="001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E2AC00"/>
              </a:solidFill>
              <a:latin typeface="Bodoni MT" panose="02070603080606020203" pitchFamily="18" charset="0"/>
            </a:rPr>
            <a:t>Sleep Exposure Index vs. Total</a:t>
          </a:r>
          <a:r>
            <a:rPr lang="en-US" sz="1600" b="1" baseline="0">
              <a:solidFill>
                <a:srgbClr val="E2AC00"/>
              </a:solidFill>
              <a:latin typeface="Bodoni MT" panose="02070603080606020203" pitchFamily="18" charset="0"/>
            </a:rPr>
            <a:t> Sleep</a:t>
          </a:r>
          <a:endParaRPr lang="en-US" sz="1600" b="1">
            <a:solidFill>
              <a:srgbClr val="E2AC00"/>
            </a:solidFill>
            <a:latin typeface="Bodoni MT" panose="02070603080606020203" pitchFamily="18" charset="0"/>
          </a:endParaRPr>
        </a:p>
        <a:p>
          <a:pPr algn="ctr"/>
          <a:endParaRPr lang="en-US" sz="1400" b="1">
            <a:solidFill>
              <a:srgbClr val="E2AC00"/>
            </a:solidFill>
            <a:latin typeface="Bodoni MT" panose="02070603080606020203" pitchFamily="18" charset="0"/>
          </a:endParaRPr>
        </a:p>
        <a:p>
          <a:r>
            <a:rPr lang="en-US" sz="1400" b="1">
              <a:solidFill>
                <a:srgbClr val="E2AC00"/>
              </a:solidFill>
            </a:rPr>
            <a:t>Observation</a:t>
          </a:r>
        </a:p>
        <a:p>
          <a:endParaRPr lang="en-US" sz="1400">
            <a:solidFill>
              <a:srgbClr val="E2AC00"/>
            </a:solidFill>
          </a:endParaRPr>
        </a:p>
        <a:p>
          <a:r>
            <a:rPr lang="en-US" sz="1400">
              <a:solidFill>
                <a:srgbClr val="E2AC00"/>
              </a:solidFill>
            </a:rPr>
            <a:t>- Sleep Exposure index = 1 corresponds to very high total sleep (~336.6), while indices 2–5 show progressively lower total sleep (index 3 lowest ~34.3 in chart ordering). Index 1 is a dominant outlier with much higher mean sleep.</a:t>
          </a:r>
        </a:p>
        <a:p>
          <a:r>
            <a:rPr lang="en-US" sz="1400">
              <a:solidFill>
                <a:srgbClr val="E2AC00"/>
              </a:solidFill>
            </a:rPr>
            <a:t>- General pattern: animals sleeping in </a:t>
          </a:r>
          <a:r>
            <a:rPr lang="en-US" sz="1400" b="1">
              <a:solidFill>
                <a:srgbClr val="E2AC00"/>
              </a:solidFill>
            </a:rPr>
            <a:t>low-exposure (safe) environments or protected contexts</a:t>
          </a:r>
          <a:r>
            <a:rPr lang="en-US" sz="1400">
              <a:solidFill>
                <a:srgbClr val="E2AC00"/>
              </a:solidFill>
            </a:rPr>
            <a:t> sleep much more than those with higher exposure.</a:t>
          </a:r>
        </a:p>
        <a:p>
          <a:endParaRPr lang="en-US" sz="1400">
            <a:solidFill>
              <a:srgbClr val="E2AC00"/>
            </a:solidFill>
          </a:endParaRPr>
        </a:p>
        <a:p>
          <a:r>
            <a:rPr lang="en-US" sz="1400" b="1">
              <a:solidFill>
                <a:srgbClr val="E2AC00"/>
              </a:solidFill>
            </a:rPr>
            <a:t>Pre-Insight</a:t>
          </a:r>
          <a:endParaRPr lang="en-US" sz="1400">
            <a:solidFill>
              <a:srgbClr val="E2AC00"/>
            </a:solidFill>
          </a:endParaRPr>
        </a:p>
        <a:p>
          <a:endParaRPr lang="en-US" sz="1400">
            <a:solidFill>
              <a:srgbClr val="E2AC00"/>
            </a:solidFill>
          </a:endParaRPr>
        </a:p>
        <a:p>
          <a:r>
            <a:rPr lang="en-US" sz="1400">
              <a:solidFill>
                <a:srgbClr val="E2AC00"/>
              </a:solidFill>
            </a:rPr>
            <a:t>- Sleep exposure (how exposed an animal is while asleep) is a strong behavioral determinant — less exposed species (e.g., sheltered den users) can afford longer, deeper sleep. High exposure species must fragment and shorten sleep for safety.</a:t>
          </a:r>
        </a:p>
        <a:p>
          <a:r>
            <a:rPr lang="en-US" sz="1400">
              <a:solidFill>
                <a:srgbClr val="E2AC00"/>
              </a:solidFill>
            </a:rPr>
            <a:t>- The very high mean at index 1 suggests either a genuine biological effect or the presence of a few long-sleeping species strongly pulling the mean up (check distribution).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102870</xdr:colOff>
      <xdr:row>2</xdr:row>
      <xdr:rowOff>106680</xdr:rowOff>
    </xdr:from>
    <xdr:to>
      <xdr:col>11</xdr:col>
      <xdr:colOff>68580</xdr:colOff>
      <xdr:row>21</xdr:row>
      <xdr:rowOff>76200</xdr:rowOff>
    </xdr:to>
    <xdr:graphicFrame macro="">
      <xdr:nvGraphicFramePr>
        <xdr:cNvPr id="2" name="Chart 1">
          <a:extLst>
            <a:ext uri="{FF2B5EF4-FFF2-40B4-BE49-F238E27FC236}">
              <a16:creationId xmlns:a16="http://schemas.microsoft.com/office/drawing/2014/main" id="{5C1244B2-9966-444A-B468-3D95FA615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102870</xdr:colOff>
      <xdr:row>2</xdr:row>
      <xdr:rowOff>106680</xdr:rowOff>
    </xdr:from>
    <xdr:to>
      <xdr:col>11</xdr:col>
      <xdr:colOff>68580</xdr:colOff>
      <xdr:row>21</xdr:row>
      <xdr:rowOff>76200</xdr:rowOff>
    </xdr:to>
    <xdr:graphicFrame macro="">
      <xdr:nvGraphicFramePr>
        <xdr:cNvPr id="2" name="Chart 1">
          <a:extLst>
            <a:ext uri="{FF2B5EF4-FFF2-40B4-BE49-F238E27FC236}">
              <a16:creationId xmlns:a16="http://schemas.microsoft.com/office/drawing/2014/main" id="{19219CDC-0610-4327-90C2-D671E2025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102870</xdr:colOff>
      <xdr:row>2</xdr:row>
      <xdr:rowOff>106680</xdr:rowOff>
    </xdr:from>
    <xdr:to>
      <xdr:col>11</xdr:col>
      <xdr:colOff>68580</xdr:colOff>
      <xdr:row>21</xdr:row>
      <xdr:rowOff>76200</xdr:rowOff>
    </xdr:to>
    <xdr:graphicFrame macro="">
      <xdr:nvGraphicFramePr>
        <xdr:cNvPr id="2" name="Chart 1">
          <a:extLst>
            <a:ext uri="{FF2B5EF4-FFF2-40B4-BE49-F238E27FC236}">
              <a16:creationId xmlns:a16="http://schemas.microsoft.com/office/drawing/2014/main" id="{9A1D23F0-0731-4A09-822B-33EE79D22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102870</xdr:colOff>
      <xdr:row>2</xdr:row>
      <xdr:rowOff>106680</xdr:rowOff>
    </xdr:from>
    <xdr:to>
      <xdr:col>11</xdr:col>
      <xdr:colOff>68580</xdr:colOff>
      <xdr:row>21</xdr:row>
      <xdr:rowOff>76200</xdr:rowOff>
    </xdr:to>
    <xdr:graphicFrame macro="">
      <xdr:nvGraphicFramePr>
        <xdr:cNvPr id="2" name="Chart 1">
          <a:extLst>
            <a:ext uri="{FF2B5EF4-FFF2-40B4-BE49-F238E27FC236}">
              <a16:creationId xmlns:a16="http://schemas.microsoft.com/office/drawing/2014/main" id="{3CD171F7-5EEA-478A-8A1F-93A13BDF6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102870</xdr:colOff>
      <xdr:row>2</xdr:row>
      <xdr:rowOff>106680</xdr:rowOff>
    </xdr:from>
    <xdr:to>
      <xdr:col>11</xdr:col>
      <xdr:colOff>68580</xdr:colOff>
      <xdr:row>21</xdr:row>
      <xdr:rowOff>76200</xdr:rowOff>
    </xdr:to>
    <xdr:graphicFrame macro="">
      <xdr:nvGraphicFramePr>
        <xdr:cNvPr id="2" name="Chart 1">
          <a:extLst>
            <a:ext uri="{FF2B5EF4-FFF2-40B4-BE49-F238E27FC236}">
              <a16:creationId xmlns:a16="http://schemas.microsoft.com/office/drawing/2014/main" id="{BDE831CB-C628-40D2-932C-D21A7E44B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80010</xdr:colOff>
      <xdr:row>2</xdr:row>
      <xdr:rowOff>99060</xdr:rowOff>
    </xdr:from>
    <xdr:to>
      <xdr:col>11</xdr:col>
      <xdr:colOff>274320</xdr:colOff>
      <xdr:row>21</xdr:row>
      <xdr:rowOff>68580</xdr:rowOff>
    </xdr:to>
    <xdr:graphicFrame macro="">
      <xdr:nvGraphicFramePr>
        <xdr:cNvPr id="2" name="Chart 1">
          <a:extLst>
            <a:ext uri="{FF2B5EF4-FFF2-40B4-BE49-F238E27FC236}">
              <a16:creationId xmlns:a16="http://schemas.microsoft.com/office/drawing/2014/main" id="{20F7439B-D1BE-4194-BA89-E0633F66C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198120</xdr:colOff>
      <xdr:row>1</xdr:row>
      <xdr:rowOff>7621</xdr:rowOff>
    </xdr:from>
    <xdr:to>
      <xdr:col>8</xdr:col>
      <xdr:colOff>38100</xdr:colOff>
      <xdr:row>22</xdr:row>
      <xdr:rowOff>15240</xdr:rowOff>
    </xdr:to>
    <xdr:sp macro="" textlink="">
      <xdr:nvSpPr>
        <xdr:cNvPr id="3" name="Rectangle: Rounded Corners 2">
          <a:extLst>
            <a:ext uri="{FF2B5EF4-FFF2-40B4-BE49-F238E27FC236}">
              <a16:creationId xmlns:a16="http://schemas.microsoft.com/office/drawing/2014/main" id="{B4B88DA4-5C41-4754-B38F-9F7931CAFFC8}"/>
            </a:ext>
          </a:extLst>
        </xdr:cNvPr>
        <xdr:cNvSpPr/>
      </xdr:nvSpPr>
      <xdr:spPr>
        <a:xfrm>
          <a:off x="198120" y="205741"/>
          <a:ext cx="5204460" cy="4168139"/>
        </a:xfrm>
        <a:prstGeom prst="roundRect">
          <a:avLst>
            <a:gd name="adj" fmla="val 2251"/>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1400"/>
              </a:solidFill>
              <a:latin typeface="+mn-lt"/>
            </a:rPr>
            <a:t>ABOUT DATA</a:t>
          </a:r>
        </a:p>
        <a:p>
          <a:pPr algn="ctr"/>
          <a:endParaRPr lang="en-GB" sz="1400" b="1">
            <a:solidFill>
              <a:srgbClr val="001400"/>
            </a:solidFill>
            <a:latin typeface="+mn-lt"/>
          </a:endParaRPr>
        </a:p>
        <a:p>
          <a:pPr algn="l"/>
          <a:r>
            <a:rPr lang="en-GB" sz="1400" b="1">
              <a:solidFill>
                <a:srgbClr val="001400"/>
              </a:solidFill>
              <a:latin typeface="+mn-lt"/>
            </a:rPr>
            <a:t>Industry</a:t>
          </a:r>
          <a:r>
            <a:rPr lang="en-GB" sz="1400" b="1" baseline="0">
              <a:solidFill>
                <a:srgbClr val="001400"/>
              </a:solidFill>
              <a:latin typeface="+mn-lt"/>
            </a:rPr>
            <a:t> Type: Zoology - </a:t>
          </a:r>
          <a:r>
            <a:rPr lang="en-US" sz="1400" b="1">
              <a:solidFill>
                <a:srgbClr val="001400"/>
              </a:solidFill>
            </a:rPr>
            <a:t>Veterinary &amp; Animal Health</a:t>
          </a:r>
          <a:r>
            <a:rPr lang="en-US" sz="1400">
              <a:solidFill>
                <a:srgbClr val="001400"/>
              </a:solidFill>
            </a:rPr>
            <a:t> </a:t>
          </a:r>
        </a:p>
        <a:p>
          <a:pPr algn="l"/>
          <a:endParaRPr lang="en-GB" sz="1200" b="1" baseline="0">
            <a:solidFill>
              <a:srgbClr val="001400"/>
            </a:solidFill>
            <a:latin typeface="+mn-lt"/>
          </a:endParaRPr>
        </a:p>
        <a:p>
          <a:pPr algn="l"/>
          <a:r>
            <a:rPr lang="en-GB" sz="1400" b="1" baseline="0">
              <a:solidFill>
                <a:srgbClr val="001400"/>
              </a:solidFill>
              <a:latin typeface="+mn-lt"/>
            </a:rPr>
            <a:t>Data Story:</a:t>
          </a:r>
        </a:p>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rgbClr val="001400"/>
              </a:solidFill>
            </a:rPr>
            <a:t>This dataset</a:t>
          </a:r>
          <a:r>
            <a:rPr lang="en-GB" sz="1400" baseline="0">
              <a:solidFill>
                <a:srgbClr val="001400"/>
              </a:solidFill>
            </a:rPr>
            <a:t> offers a close view into animals that </a:t>
          </a:r>
          <a:r>
            <a:rPr lang="en-US" sz="1400" baseline="0">
              <a:solidFill>
                <a:srgbClr val="001400"/>
              </a:solidFill>
              <a:effectLst/>
              <a:latin typeface="+mn-lt"/>
              <a:ea typeface="+mn-ea"/>
              <a:cs typeface="+mn-cs"/>
            </a:rPr>
            <a:t>h</a:t>
          </a:r>
          <a:r>
            <a:rPr lang="en-US" sz="1400">
              <a:solidFill>
                <a:srgbClr val="001400"/>
              </a:solidFill>
              <a:effectLst/>
              <a:latin typeface="+mn-lt"/>
              <a:ea typeface="+mn-ea"/>
              <a:cs typeface="+mn-cs"/>
            </a:rPr>
            <a:t>elps in understanding species traits, gestation, and lifespan of animal care.</a:t>
          </a:r>
          <a:endParaRPr lang="en-US" sz="1400">
            <a:solidFill>
              <a:srgbClr val="001400"/>
            </a:solidFill>
            <a:effectLst/>
          </a:endParaRPr>
        </a:p>
        <a:p>
          <a:pPr algn="l"/>
          <a:r>
            <a:rPr lang="en-GB" sz="1400" baseline="0">
              <a:solidFill>
                <a:srgbClr val="001400"/>
              </a:solidFill>
            </a:rPr>
            <a:t> </a:t>
          </a:r>
          <a:endParaRPr lang="en-GB" sz="1400" b="0">
            <a:solidFill>
              <a:srgbClr val="001400"/>
            </a:solidFill>
            <a:latin typeface="+mn-lt"/>
          </a:endParaRPr>
        </a:p>
        <a:p>
          <a:pPr algn="l"/>
          <a:r>
            <a:rPr lang="en-GB" sz="1400" b="1">
              <a:solidFill>
                <a:srgbClr val="001400"/>
              </a:solidFill>
              <a:latin typeface="+mn-lt"/>
            </a:rPr>
            <a:t>Stakeholders:</a:t>
          </a:r>
        </a:p>
        <a:p>
          <a:pPr algn="l"/>
          <a:r>
            <a:rPr lang="en-GB" sz="1400" b="0">
              <a:solidFill>
                <a:srgbClr val="001400"/>
              </a:solidFill>
              <a:latin typeface="+mn-lt"/>
            </a:rPr>
            <a:t>- </a:t>
          </a:r>
          <a:r>
            <a:rPr lang="en-GB" sz="1400" b="0" baseline="0">
              <a:solidFill>
                <a:srgbClr val="001400"/>
              </a:solidFill>
              <a:latin typeface="+mn-lt"/>
            </a:rPr>
            <a:t>Academic (environment &amp; Wildlife) researchers</a:t>
          </a:r>
        </a:p>
        <a:p>
          <a:pPr algn="l"/>
          <a:r>
            <a:rPr lang="en-GB" sz="1400" b="0">
              <a:solidFill>
                <a:srgbClr val="001400"/>
              </a:solidFill>
              <a:latin typeface="+mn-lt"/>
            </a:rPr>
            <a:t>- Neuroscientists</a:t>
          </a:r>
          <a:endParaRPr lang="en-GB" sz="1400" b="0" baseline="0">
            <a:solidFill>
              <a:srgbClr val="001400"/>
            </a:solidFill>
            <a:latin typeface="+mn-lt"/>
          </a:endParaRPr>
        </a:p>
        <a:p>
          <a:pPr algn="l"/>
          <a:endParaRPr lang="en-GB" sz="1400" b="1" baseline="0">
            <a:solidFill>
              <a:srgbClr val="001400"/>
            </a:solidFill>
            <a:latin typeface="+mn-lt"/>
          </a:endParaRPr>
        </a:p>
        <a:p>
          <a:pPr algn="l"/>
          <a:r>
            <a:rPr lang="en-GB" sz="1400" b="1">
              <a:solidFill>
                <a:srgbClr val="001400"/>
              </a:solidFill>
              <a:latin typeface="+mn-lt"/>
            </a:rPr>
            <a:t>What Success Means to the industry</a:t>
          </a:r>
        </a:p>
        <a:p>
          <a:pPr algn="l"/>
          <a:r>
            <a:rPr lang="en-GB" sz="1400">
              <a:solidFill>
                <a:srgbClr val="001400"/>
              </a:solidFill>
            </a:rPr>
            <a:t>Identifying patterns and correlations to help predict survival rates of</a:t>
          </a:r>
          <a:r>
            <a:rPr lang="en-GB" sz="1400" baseline="0">
              <a:solidFill>
                <a:srgbClr val="001400"/>
              </a:solidFill>
            </a:rPr>
            <a:t> animals in their environments. In other words, success means </a:t>
          </a:r>
          <a:r>
            <a:rPr lang="en-US" sz="1400">
              <a:solidFill>
                <a:srgbClr val="001400"/>
              </a:solidFill>
            </a:rPr>
            <a:t>discovering, validating, and applying insights about animals’ physiology, behavior, and survival to benefit science, conservation, and society.</a:t>
          </a:r>
          <a:endParaRPr lang="en-GB" sz="1400" b="0">
            <a:solidFill>
              <a:srgbClr val="001400"/>
            </a:solidFill>
            <a:latin typeface="+mn-lt"/>
          </a:endParaRPr>
        </a:p>
      </xdr:txBody>
    </xdr:sp>
    <xdr:clientData/>
  </xdr:twoCellAnchor>
  <xdr:twoCellAnchor>
    <xdr:from>
      <xdr:col>16</xdr:col>
      <xdr:colOff>22489</xdr:colOff>
      <xdr:row>1</xdr:row>
      <xdr:rowOff>26815</xdr:rowOff>
    </xdr:from>
    <xdr:to>
      <xdr:col>19</xdr:col>
      <xdr:colOff>144780</xdr:colOff>
      <xdr:row>21</xdr:row>
      <xdr:rowOff>190500</xdr:rowOff>
    </xdr:to>
    <xdr:sp macro="" textlink="">
      <xdr:nvSpPr>
        <xdr:cNvPr id="4" name="Rectangle: Rounded Corners 3">
          <a:extLst>
            <a:ext uri="{FF2B5EF4-FFF2-40B4-BE49-F238E27FC236}">
              <a16:creationId xmlns:a16="http://schemas.microsoft.com/office/drawing/2014/main" id="{39BF12D2-7B79-416F-8291-07E623EDB210}"/>
            </a:ext>
          </a:extLst>
        </xdr:cNvPr>
        <xdr:cNvSpPr/>
      </xdr:nvSpPr>
      <xdr:spPr>
        <a:xfrm>
          <a:off x="10751449" y="224935"/>
          <a:ext cx="2133971" cy="4126085"/>
        </a:xfrm>
        <a:prstGeom prst="roundRect">
          <a:avLst>
            <a:gd name="adj" fmla="val 2384"/>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1400"/>
              </a:solidFill>
              <a:latin typeface="+mn-lt"/>
            </a:rPr>
            <a:t>PROJECT</a:t>
          </a:r>
          <a:r>
            <a:rPr lang="en-GB" sz="1600" b="1" baseline="0">
              <a:solidFill>
                <a:srgbClr val="001400"/>
              </a:solidFill>
              <a:latin typeface="+mn-lt"/>
            </a:rPr>
            <a:t> SPLIT</a:t>
          </a:r>
          <a:endParaRPr lang="en-GB" sz="1600" b="1">
            <a:solidFill>
              <a:srgbClr val="001400"/>
            </a:solidFill>
            <a:latin typeface="+mn-lt"/>
          </a:endParaRPr>
        </a:p>
        <a:p>
          <a:pPr algn="ctr"/>
          <a:endParaRPr lang="en-GB" sz="1400" b="1">
            <a:solidFill>
              <a:srgbClr val="001400"/>
            </a:solidFill>
            <a:latin typeface="+mn-lt"/>
          </a:endParaRPr>
        </a:p>
        <a:p>
          <a:pPr algn="l"/>
          <a:r>
            <a:rPr lang="en-GB" sz="1400" b="1">
              <a:solidFill>
                <a:srgbClr val="001400"/>
              </a:solidFill>
              <a:latin typeface="+mn-lt"/>
            </a:rPr>
            <a:t>Independent Variables:</a:t>
          </a:r>
        </a:p>
        <a:p>
          <a:pPr algn="l"/>
          <a:endParaRPr lang="en-GB" sz="1400" b="1" baseline="0">
            <a:solidFill>
              <a:srgbClr val="001400"/>
            </a:solidFill>
            <a:latin typeface="+mn-lt"/>
          </a:endParaRPr>
        </a:p>
        <a:p>
          <a:r>
            <a:rPr lang="en-GB" sz="1400">
              <a:solidFill>
                <a:srgbClr val="001400"/>
              </a:solidFill>
            </a:rPr>
            <a:t>- Body Weight</a:t>
          </a:r>
        </a:p>
        <a:p>
          <a:r>
            <a:rPr lang="en-GB" sz="1400">
              <a:solidFill>
                <a:srgbClr val="001400"/>
              </a:solidFill>
            </a:rPr>
            <a:t>- Brain Weight</a:t>
          </a:r>
        </a:p>
        <a:p>
          <a:r>
            <a:rPr lang="en-GB" sz="1400">
              <a:solidFill>
                <a:srgbClr val="001400"/>
              </a:solidFill>
            </a:rPr>
            <a:t>- Gestation Period</a:t>
          </a:r>
        </a:p>
        <a:p>
          <a:r>
            <a:rPr lang="en-GB" sz="1400">
              <a:solidFill>
                <a:srgbClr val="001400"/>
              </a:solidFill>
            </a:rPr>
            <a:t>- Danger Index</a:t>
          </a:r>
        </a:p>
        <a:p>
          <a:r>
            <a:rPr lang="en-GB" sz="1400">
              <a:solidFill>
                <a:srgbClr val="001400"/>
              </a:solidFill>
            </a:rPr>
            <a:t>- Exposure</a:t>
          </a:r>
        </a:p>
        <a:p>
          <a:pPr algn="l"/>
          <a:endParaRPr lang="en-GB" sz="1200" b="1" baseline="0">
            <a:solidFill>
              <a:srgbClr val="001400"/>
            </a:solidFill>
            <a:latin typeface="+mn-lt"/>
          </a:endParaRPr>
        </a:p>
        <a:p>
          <a:pPr algn="l"/>
          <a:endParaRPr lang="en-GB" sz="1200" b="1" baseline="0">
            <a:solidFill>
              <a:srgbClr val="001400"/>
            </a:solidFill>
            <a:latin typeface="+mn-lt"/>
          </a:endParaRPr>
        </a:p>
        <a:p>
          <a:pPr algn="l"/>
          <a:r>
            <a:rPr lang="en-GB" sz="1400" b="1" baseline="0">
              <a:solidFill>
                <a:srgbClr val="001400"/>
              </a:solidFill>
              <a:latin typeface="+mn-lt"/>
            </a:rPr>
            <a:t>Dependent Variables:</a:t>
          </a:r>
        </a:p>
        <a:p>
          <a:pPr algn="l"/>
          <a:endParaRPr lang="en-GB" sz="1400" b="1" baseline="0">
            <a:solidFill>
              <a:srgbClr val="001400"/>
            </a:solidFill>
            <a:latin typeface="+mn-lt"/>
          </a:endParaRPr>
        </a:p>
        <a:p>
          <a:r>
            <a:rPr lang="en-GB" sz="1400">
              <a:solidFill>
                <a:srgbClr val="001400"/>
              </a:solidFill>
            </a:rPr>
            <a:t>- Life Span</a:t>
          </a:r>
        </a:p>
        <a:p>
          <a:r>
            <a:rPr lang="en-GB" sz="1400">
              <a:solidFill>
                <a:srgbClr val="001400"/>
              </a:solidFill>
            </a:rPr>
            <a:t>- Total Sleep Hours</a:t>
          </a:r>
        </a:p>
        <a:p>
          <a:r>
            <a:rPr lang="en-GB" sz="1400">
              <a:solidFill>
                <a:srgbClr val="001400"/>
              </a:solidFill>
            </a:rPr>
            <a:t>- REM Sleep Hours</a:t>
          </a:r>
        </a:p>
      </xdr:txBody>
    </xdr:sp>
    <xdr:clientData/>
  </xdr:twoCellAnchor>
  <xdr:twoCellAnchor>
    <xdr:from>
      <xdr:col>0</xdr:col>
      <xdr:colOff>204283</xdr:colOff>
      <xdr:row>22</xdr:row>
      <xdr:rowOff>182879</xdr:rowOff>
    </xdr:from>
    <xdr:to>
      <xdr:col>5</xdr:col>
      <xdr:colOff>81935</xdr:colOff>
      <xdr:row>35</xdr:row>
      <xdr:rowOff>32773</xdr:rowOff>
    </xdr:to>
    <xdr:sp macro="" textlink="">
      <xdr:nvSpPr>
        <xdr:cNvPr id="5" name="Rectangle: Rounded Corners 4">
          <a:extLst>
            <a:ext uri="{FF2B5EF4-FFF2-40B4-BE49-F238E27FC236}">
              <a16:creationId xmlns:a16="http://schemas.microsoft.com/office/drawing/2014/main" id="{40FF5DEA-7CC0-43EC-9198-6AB301AF6947}"/>
            </a:ext>
          </a:extLst>
        </xdr:cNvPr>
        <xdr:cNvSpPr/>
      </xdr:nvSpPr>
      <xdr:spPr>
        <a:xfrm>
          <a:off x="204283" y="4509073"/>
          <a:ext cx="3237007" cy="2406281"/>
        </a:xfrm>
        <a:prstGeom prst="roundRect">
          <a:avLst>
            <a:gd name="adj" fmla="val 3344"/>
          </a:avLst>
        </a:prstGeom>
        <a:solidFill>
          <a:srgbClr val="001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E2AC00"/>
              </a:solidFill>
              <a:latin typeface="+mn-lt"/>
            </a:rPr>
            <a:t>POTENTIAL ANALYSIS</a:t>
          </a:r>
        </a:p>
        <a:p>
          <a:pPr algn="ctr"/>
          <a:endParaRPr lang="en-GB" sz="1400" b="1">
            <a:solidFill>
              <a:srgbClr val="E2AC00"/>
            </a:solidFill>
            <a:latin typeface="+mn-lt"/>
          </a:endParaRPr>
        </a:p>
        <a:p>
          <a:r>
            <a:rPr lang="en-GB" sz="1400">
              <a:solidFill>
                <a:srgbClr val="E2AC00"/>
              </a:solidFill>
            </a:rPr>
            <a:t>-</a:t>
          </a:r>
          <a:r>
            <a:rPr lang="en-GB" sz="1400" baseline="0">
              <a:solidFill>
                <a:srgbClr val="E2AC00"/>
              </a:solidFill>
            </a:rPr>
            <a:t> Analysis of body weight vs brain weight.</a:t>
          </a:r>
        </a:p>
        <a:p>
          <a:r>
            <a:rPr lang="en-GB" sz="1400" baseline="0">
              <a:solidFill>
                <a:srgbClr val="E2AC00"/>
              </a:solidFill>
            </a:rPr>
            <a:t>- </a:t>
          </a:r>
          <a:r>
            <a:rPr lang="en-GB" sz="1400">
              <a:solidFill>
                <a:srgbClr val="E2AC00"/>
              </a:solidFill>
            </a:rPr>
            <a:t>Life span by body weight</a:t>
          </a:r>
          <a:r>
            <a:rPr lang="en-GB" sz="1400" baseline="0">
              <a:solidFill>
                <a:srgbClr val="E2AC00"/>
              </a:solidFill>
            </a:rPr>
            <a:t> analysis.</a:t>
          </a:r>
        </a:p>
        <a:p>
          <a:r>
            <a:rPr lang="en-GB" sz="1400" b="0" baseline="0">
              <a:solidFill>
                <a:srgbClr val="E2AC00"/>
              </a:solidFill>
              <a:latin typeface="+mn-lt"/>
            </a:rPr>
            <a:t>- </a:t>
          </a:r>
          <a:r>
            <a:rPr lang="en-GB" sz="1400" b="0">
              <a:solidFill>
                <a:srgbClr val="E2AC00"/>
              </a:solidFill>
            </a:rPr>
            <a:t>Gestation time by life span analysis.</a:t>
          </a:r>
        </a:p>
        <a:p>
          <a:r>
            <a:rPr lang="en-GB" sz="1400" b="0" baseline="0">
              <a:solidFill>
                <a:srgbClr val="E2AC00"/>
              </a:solidFill>
              <a:latin typeface="+mn-lt"/>
            </a:rPr>
            <a:t>- Analysis of predation index/danger index by sleep.</a:t>
          </a:r>
        </a:p>
        <a:p>
          <a:r>
            <a:rPr lang="en-GB" sz="1400" b="0" baseline="0">
              <a:solidFill>
                <a:srgbClr val="E2AC00"/>
              </a:solidFill>
              <a:latin typeface="+mn-lt"/>
            </a:rPr>
            <a:t>- </a:t>
          </a:r>
          <a:r>
            <a:rPr lang="en-GB" sz="1400" b="0">
              <a:solidFill>
                <a:srgbClr val="E2AC00"/>
              </a:solidFill>
            </a:rPr>
            <a:t>Analysis of sleep exposure by total sleep.</a:t>
          </a:r>
        </a:p>
        <a:p>
          <a:r>
            <a:rPr lang="en-GB" sz="1400" b="0" baseline="0">
              <a:solidFill>
                <a:srgbClr val="E2AC00"/>
              </a:solidFill>
              <a:latin typeface="+mn-lt"/>
            </a:rPr>
            <a:t>- </a:t>
          </a:r>
          <a:r>
            <a:rPr lang="en-GB" sz="1400" b="0">
              <a:solidFill>
                <a:srgbClr val="E2AC00"/>
              </a:solidFill>
            </a:rPr>
            <a:t>Cluster analysis.</a:t>
          </a:r>
          <a:endParaRPr lang="en-GB" sz="1400" b="1" baseline="0">
            <a:solidFill>
              <a:srgbClr val="E2AC00"/>
            </a:solidFill>
            <a:latin typeface="+mn-lt"/>
          </a:endParaRPr>
        </a:p>
      </xdr:txBody>
    </xdr:sp>
    <xdr:clientData/>
  </xdr:twoCellAnchor>
  <xdr:twoCellAnchor>
    <xdr:from>
      <xdr:col>5</xdr:col>
      <xdr:colOff>280737</xdr:colOff>
      <xdr:row>22</xdr:row>
      <xdr:rowOff>182880</xdr:rowOff>
    </xdr:from>
    <xdr:to>
      <xdr:col>19</xdr:col>
      <xdr:colOff>144379</xdr:colOff>
      <xdr:row>35</xdr:row>
      <xdr:rowOff>32774</xdr:rowOff>
    </xdr:to>
    <xdr:sp macro="" textlink="">
      <xdr:nvSpPr>
        <xdr:cNvPr id="7" name="Rectangle: Rounded Corners 6">
          <a:extLst>
            <a:ext uri="{FF2B5EF4-FFF2-40B4-BE49-F238E27FC236}">
              <a16:creationId xmlns:a16="http://schemas.microsoft.com/office/drawing/2014/main" id="{9D7B180C-A912-DE12-2C18-7D024DF221EB}"/>
            </a:ext>
          </a:extLst>
        </xdr:cNvPr>
        <xdr:cNvSpPr/>
      </xdr:nvSpPr>
      <xdr:spPr>
        <a:xfrm>
          <a:off x="3640092" y="4509074"/>
          <a:ext cx="9269835" cy="2406281"/>
        </a:xfrm>
        <a:prstGeom prst="roundRect">
          <a:avLst>
            <a:gd name="adj" fmla="val 1926"/>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1400"/>
              </a:solidFill>
              <a:latin typeface="+mn-lt"/>
            </a:rPr>
            <a:t>POTENTIAL ANALYSIS</a:t>
          </a:r>
        </a:p>
        <a:p>
          <a:pPr algn="ctr"/>
          <a:endParaRPr lang="en-GB" sz="1400" b="1">
            <a:solidFill>
              <a:srgbClr val="001400"/>
            </a:solidFill>
            <a:latin typeface="+mn-lt"/>
          </a:endParaRPr>
        </a:p>
        <a:p>
          <a:r>
            <a:rPr lang="en-GB" sz="1400" b="0">
              <a:solidFill>
                <a:srgbClr val="001400"/>
              </a:solidFill>
            </a:rPr>
            <a:t>-</a:t>
          </a:r>
          <a:r>
            <a:rPr lang="en-GB" sz="1400" b="0" baseline="0">
              <a:solidFill>
                <a:srgbClr val="001400"/>
              </a:solidFill>
            </a:rPr>
            <a:t> </a:t>
          </a:r>
          <a:r>
            <a:rPr lang="en-US" sz="1400" b="0">
              <a:solidFill>
                <a:srgbClr val="001400"/>
              </a:solidFill>
            </a:rPr>
            <a:t>Discover</a:t>
          </a:r>
          <a:r>
            <a:rPr lang="en-US" sz="1400" b="0" baseline="0">
              <a:solidFill>
                <a:srgbClr val="001400"/>
              </a:solidFill>
            </a:rPr>
            <a:t> if </a:t>
          </a:r>
          <a:r>
            <a:rPr lang="en-US" sz="1400" b="0">
              <a:solidFill>
                <a:srgbClr val="001400"/>
              </a:solidFill>
            </a:rPr>
            <a:t>larger animals also tend to have larger brains (correlation)</a:t>
          </a:r>
          <a:r>
            <a:rPr lang="en-US" sz="1400" b="0" baseline="0">
              <a:solidFill>
                <a:srgbClr val="001400"/>
              </a:solidFill>
            </a:rPr>
            <a:t> and i</a:t>
          </a:r>
          <a:r>
            <a:rPr lang="en-US" sz="1400" b="0">
              <a:solidFill>
                <a:srgbClr val="001400"/>
              </a:solidFill>
            </a:rPr>
            <a:t>dentify outliers (e.g., animals with unusually high brain-to-body ratios).</a:t>
          </a:r>
        </a:p>
        <a:p>
          <a:r>
            <a:rPr lang="en-US" sz="1400" b="0">
              <a:solidFill>
                <a:srgbClr val="001400"/>
              </a:solidFill>
            </a:rPr>
            <a:t>- Test if bigger animals live longer</a:t>
          </a:r>
          <a:r>
            <a:rPr lang="en-US" sz="1400" b="0" baseline="0">
              <a:solidFill>
                <a:srgbClr val="001400"/>
              </a:solidFill>
            </a:rPr>
            <a:t> and s</a:t>
          </a:r>
          <a:r>
            <a:rPr lang="en-US" sz="1400" b="0">
              <a:solidFill>
                <a:srgbClr val="001400"/>
              </a:solidFill>
            </a:rPr>
            <a:t>pot species that live shorter/longer than expected.</a:t>
          </a:r>
        </a:p>
        <a:p>
          <a:r>
            <a:rPr lang="en-US" sz="1400" b="0">
              <a:solidFill>
                <a:srgbClr val="001400"/>
              </a:solidFill>
            </a:rPr>
            <a:t>- Determine if longer pregnancies relate to longer lifespans.</a:t>
          </a:r>
        </a:p>
        <a:p>
          <a:r>
            <a:rPr lang="en-US" sz="1400" b="0">
              <a:solidFill>
                <a:srgbClr val="001400"/>
              </a:solidFill>
            </a:rPr>
            <a:t>- Discover</a:t>
          </a:r>
          <a:r>
            <a:rPr lang="en-US" sz="1400" b="0" baseline="0">
              <a:solidFill>
                <a:srgbClr val="001400"/>
              </a:solidFill>
            </a:rPr>
            <a:t> if</a:t>
          </a:r>
          <a:r>
            <a:rPr lang="en-US" sz="1400" b="0">
              <a:solidFill>
                <a:srgbClr val="001400"/>
              </a:solidFill>
            </a:rPr>
            <a:t> animals facing more danger/predators sleep less,</a:t>
          </a:r>
          <a:r>
            <a:rPr lang="en-US" sz="1400" b="0" baseline="0">
              <a:solidFill>
                <a:srgbClr val="001400"/>
              </a:solidFill>
            </a:rPr>
            <a:t> and c</a:t>
          </a:r>
          <a:r>
            <a:rPr lang="en-US" sz="1400" b="0">
              <a:solidFill>
                <a:srgbClr val="001400"/>
              </a:solidFill>
            </a:rPr>
            <a:t>ompare high-risk vs. low-risk groups.</a:t>
          </a:r>
        </a:p>
        <a:p>
          <a:r>
            <a:rPr lang="en-US" sz="1400" b="0">
              <a:solidFill>
                <a:srgbClr val="001400"/>
              </a:solidFill>
            </a:rPr>
            <a:t>-</a:t>
          </a:r>
          <a:r>
            <a:rPr lang="en-US" sz="1400" b="0" baseline="0">
              <a:solidFill>
                <a:srgbClr val="001400"/>
              </a:solidFill>
            </a:rPr>
            <a:t> </a:t>
          </a:r>
          <a:r>
            <a:rPr lang="en-US" sz="1400" b="0">
              <a:solidFill>
                <a:srgbClr val="001400"/>
              </a:solidFill>
            </a:rPr>
            <a:t>Explore how safe or exposed animals are when sleeping, and how that affects total sleep.</a:t>
          </a:r>
        </a:p>
        <a:p>
          <a:r>
            <a:rPr lang="en-US" sz="1400" b="0">
              <a:solidFill>
                <a:srgbClr val="001400"/>
              </a:solidFill>
            </a:rPr>
            <a:t>-</a:t>
          </a:r>
          <a:r>
            <a:rPr lang="en-US" sz="1400" b="0" baseline="0">
              <a:solidFill>
                <a:srgbClr val="001400"/>
              </a:solidFill>
            </a:rPr>
            <a:t> </a:t>
          </a:r>
          <a:r>
            <a:rPr lang="en-US" sz="1400" b="0">
              <a:solidFill>
                <a:srgbClr val="001400"/>
              </a:solidFill>
            </a:rPr>
            <a:t>Group animals based on weight, brain size, sleep patterns, and danger</a:t>
          </a:r>
          <a:r>
            <a:rPr lang="en-US" sz="1400" b="0" baseline="0">
              <a:solidFill>
                <a:srgbClr val="001400"/>
              </a:solidFill>
            </a:rPr>
            <a:t> inorder to </a:t>
          </a:r>
          <a:r>
            <a:rPr lang="en-US" sz="1400" b="0">
              <a:solidFill>
                <a:srgbClr val="001400"/>
              </a:solidFill>
            </a:rPr>
            <a:t>dentify patterns (e.g., small prey animals vs. large predators).</a:t>
          </a:r>
        </a:p>
      </xdr:txBody>
    </xdr:sp>
    <xdr:clientData/>
  </xdr:twoCellAnchor>
  <xdr:twoCellAnchor>
    <xdr:from>
      <xdr:col>8</xdr:col>
      <xdr:colOff>229001</xdr:colOff>
      <xdr:row>1</xdr:row>
      <xdr:rowOff>15240</xdr:rowOff>
    </xdr:from>
    <xdr:to>
      <xdr:col>15</xdr:col>
      <xdr:colOff>495701</xdr:colOff>
      <xdr:row>22</xdr:row>
      <xdr:rowOff>7620</xdr:rowOff>
    </xdr:to>
    <xdr:sp macro="" textlink="">
      <xdr:nvSpPr>
        <xdr:cNvPr id="8" name="Rectangle: Rounded Corners 7">
          <a:extLst>
            <a:ext uri="{FF2B5EF4-FFF2-40B4-BE49-F238E27FC236}">
              <a16:creationId xmlns:a16="http://schemas.microsoft.com/office/drawing/2014/main" id="{1B2F3F4B-1754-F175-0EDE-B7249D3710C6}"/>
            </a:ext>
          </a:extLst>
        </xdr:cNvPr>
        <xdr:cNvSpPr/>
      </xdr:nvSpPr>
      <xdr:spPr>
        <a:xfrm>
          <a:off x="5619148" y="215766"/>
          <a:ext cx="4983079" cy="4203433"/>
        </a:xfrm>
        <a:prstGeom prst="roundRect">
          <a:avLst>
            <a:gd name="adj" fmla="val 2172"/>
          </a:avLst>
        </a:prstGeom>
        <a:solidFill>
          <a:srgbClr val="0014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E2AC00"/>
              </a:solidFill>
              <a:latin typeface="+mn-lt"/>
            </a:rPr>
            <a:t>ABOUT VARIABLES</a:t>
          </a:r>
        </a:p>
        <a:p>
          <a:pPr algn="ctr"/>
          <a:endParaRPr lang="en-GB" sz="1800" b="1">
            <a:solidFill>
              <a:srgbClr val="E2AC00"/>
            </a:solidFill>
            <a:latin typeface="+mn-lt"/>
          </a:endParaRP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B</a:t>
          </a:r>
          <a:r>
            <a:rPr lang="en-US" sz="1400" b="0" i="0">
              <a:solidFill>
                <a:srgbClr val="E2AC00"/>
              </a:solidFill>
              <a:effectLst/>
              <a:latin typeface="+mn-lt"/>
              <a:ea typeface="+mn-ea"/>
              <a:cs typeface="+mn-cs"/>
            </a:rPr>
            <a:t>ody weight in kg</a:t>
          </a: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B</a:t>
          </a:r>
          <a:r>
            <a:rPr lang="en-US" sz="1400" b="0" i="0">
              <a:solidFill>
                <a:srgbClr val="E2AC00"/>
              </a:solidFill>
              <a:effectLst/>
              <a:latin typeface="+mn-lt"/>
              <a:ea typeface="+mn-ea"/>
              <a:cs typeface="+mn-cs"/>
            </a:rPr>
            <a:t>rain weight in g</a:t>
          </a: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T</a:t>
          </a:r>
          <a:r>
            <a:rPr lang="en-US" sz="1400" b="0" i="0">
              <a:solidFill>
                <a:srgbClr val="E2AC00"/>
              </a:solidFill>
              <a:effectLst/>
              <a:latin typeface="+mn-lt"/>
              <a:ea typeface="+mn-ea"/>
              <a:cs typeface="+mn-cs"/>
            </a:rPr>
            <a:t>otal sleep (hrs/day) (sum of slow wave and paradoxical sleep)</a:t>
          </a:r>
        </a:p>
        <a:p>
          <a:pPr fontAlgn="base"/>
          <a:r>
            <a:rPr lang="en-US" sz="1400" b="0" i="0" baseline="0">
              <a:solidFill>
                <a:srgbClr val="E2AC00"/>
              </a:solidFill>
              <a:effectLst/>
              <a:latin typeface="+mn-lt"/>
              <a:ea typeface="+mn-ea"/>
              <a:cs typeface="+mn-cs"/>
            </a:rPr>
            <a:t>     - S</a:t>
          </a:r>
          <a:r>
            <a:rPr lang="en-US" sz="1400" b="0" i="0">
              <a:solidFill>
                <a:srgbClr val="E2AC00"/>
              </a:solidFill>
              <a:effectLst/>
              <a:latin typeface="+mn-lt"/>
              <a:ea typeface="+mn-ea"/>
              <a:cs typeface="+mn-cs"/>
            </a:rPr>
            <a:t>low wave ("nondreaming") sleep (hrs/day)</a:t>
          </a:r>
          <a:endParaRPr lang="en-US" sz="1400">
            <a:solidFill>
              <a:srgbClr val="E2AC00"/>
            </a:solidFill>
            <a:effectLst/>
          </a:endParaRPr>
        </a:p>
        <a:p>
          <a:pPr fontAlgn="base"/>
          <a:r>
            <a:rPr lang="en-US" sz="1400" b="0" i="0" baseline="0">
              <a:solidFill>
                <a:srgbClr val="E2AC00"/>
              </a:solidFill>
              <a:effectLst/>
              <a:latin typeface="+mn-lt"/>
              <a:ea typeface="+mn-ea"/>
              <a:cs typeface="+mn-cs"/>
            </a:rPr>
            <a:t>     - P</a:t>
          </a:r>
          <a:r>
            <a:rPr lang="en-US" sz="1400" b="0" i="0">
              <a:solidFill>
                <a:srgbClr val="E2AC00"/>
              </a:solidFill>
              <a:effectLst/>
              <a:latin typeface="+mn-lt"/>
              <a:ea typeface="+mn-ea"/>
              <a:cs typeface="+mn-cs"/>
            </a:rPr>
            <a:t>aradoxical ("dreaming") sleep (hrs/day)</a:t>
          </a:r>
          <a:endParaRPr lang="en-US" sz="1400">
            <a:solidFill>
              <a:srgbClr val="E2AC00"/>
            </a:solidFill>
            <a:effectLst/>
          </a:endParaRP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M</a:t>
          </a:r>
          <a:r>
            <a:rPr lang="en-US" sz="1400" b="0" i="0">
              <a:solidFill>
                <a:srgbClr val="E2AC00"/>
              </a:solidFill>
              <a:effectLst/>
              <a:latin typeface="+mn-lt"/>
              <a:ea typeface="+mn-ea"/>
              <a:cs typeface="+mn-cs"/>
            </a:rPr>
            <a:t>aximum life span (years)</a:t>
          </a: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G</a:t>
          </a:r>
          <a:r>
            <a:rPr lang="en-US" sz="1400" b="0" i="0">
              <a:solidFill>
                <a:srgbClr val="E2AC00"/>
              </a:solidFill>
              <a:effectLst/>
              <a:latin typeface="+mn-lt"/>
              <a:ea typeface="+mn-ea"/>
              <a:cs typeface="+mn-cs"/>
            </a:rPr>
            <a:t>estation time (days)</a:t>
          </a:r>
        </a:p>
        <a:p>
          <a:pPr fontAlgn="base"/>
          <a:r>
            <a:rPr lang="en-US" sz="1400" b="0" i="0">
              <a:solidFill>
                <a:srgbClr val="E2AC00"/>
              </a:solidFill>
              <a:effectLst/>
              <a:latin typeface="+mn-lt"/>
              <a:ea typeface="+mn-ea"/>
              <a:cs typeface="+mn-cs"/>
            </a:rPr>
            <a:t>- Predation index (1-5)</a:t>
          </a:r>
        </a:p>
        <a:p>
          <a:pPr fontAlgn="base"/>
          <a:r>
            <a:rPr lang="en-US" sz="1400" b="0" i="0" baseline="0">
              <a:solidFill>
                <a:srgbClr val="E2AC00"/>
              </a:solidFill>
              <a:effectLst/>
              <a:latin typeface="+mn-lt"/>
              <a:ea typeface="+mn-ea"/>
              <a:cs typeface="+mn-cs"/>
            </a:rPr>
            <a:t>     - </a:t>
          </a:r>
          <a:r>
            <a:rPr lang="en-US" sz="1400" b="0" i="0">
              <a:solidFill>
                <a:srgbClr val="E2AC00"/>
              </a:solidFill>
              <a:effectLst/>
              <a:latin typeface="+mn-lt"/>
              <a:ea typeface="+mn-ea"/>
              <a:cs typeface="+mn-cs"/>
            </a:rPr>
            <a:t>1 = minimum (least likely to be preyed upon)</a:t>
          </a:r>
        </a:p>
        <a:p>
          <a:pPr fontAlgn="base"/>
          <a:r>
            <a:rPr lang="en-US" sz="1400" b="0" i="0" baseline="0">
              <a:solidFill>
                <a:srgbClr val="E2AC00"/>
              </a:solidFill>
              <a:effectLst/>
              <a:latin typeface="+mn-lt"/>
              <a:ea typeface="+mn-ea"/>
              <a:cs typeface="+mn-cs"/>
            </a:rPr>
            <a:t>     - </a:t>
          </a:r>
          <a:r>
            <a:rPr lang="en-US" sz="1400" b="0" i="0">
              <a:solidFill>
                <a:srgbClr val="E2AC00"/>
              </a:solidFill>
              <a:effectLst/>
              <a:latin typeface="+mn-lt"/>
              <a:ea typeface="+mn-ea"/>
              <a:cs typeface="+mn-cs"/>
            </a:rPr>
            <a:t>5 = maximum (most likely to be preyed upon).</a:t>
          </a: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S</a:t>
          </a:r>
          <a:r>
            <a:rPr lang="en-US" sz="1400" b="0" i="0">
              <a:solidFill>
                <a:srgbClr val="E2AC00"/>
              </a:solidFill>
              <a:effectLst/>
              <a:latin typeface="+mn-lt"/>
              <a:ea typeface="+mn-ea"/>
              <a:cs typeface="+mn-cs"/>
            </a:rPr>
            <a:t>leep exposure index (1-5) </a:t>
          </a:r>
        </a:p>
        <a:p>
          <a:pPr fontAlgn="base"/>
          <a:r>
            <a:rPr lang="en-US" sz="1400" b="0" i="0">
              <a:solidFill>
                <a:srgbClr val="E2AC00"/>
              </a:solidFill>
              <a:effectLst/>
              <a:latin typeface="+mn-lt"/>
              <a:ea typeface="+mn-ea"/>
              <a:cs typeface="+mn-cs"/>
            </a:rPr>
            <a:t>     -</a:t>
          </a:r>
          <a:r>
            <a:rPr lang="en-US" sz="1400" b="0" i="0" baseline="0">
              <a:solidFill>
                <a:srgbClr val="E2AC00"/>
              </a:solidFill>
              <a:effectLst/>
              <a:latin typeface="+mn-lt"/>
              <a:ea typeface="+mn-ea"/>
              <a:cs typeface="+mn-cs"/>
            </a:rPr>
            <a:t> </a:t>
          </a:r>
          <a:r>
            <a:rPr lang="en-US" sz="1400" b="0" i="0">
              <a:solidFill>
                <a:srgbClr val="E2AC00"/>
              </a:solidFill>
              <a:effectLst/>
              <a:latin typeface="+mn-lt"/>
              <a:ea typeface="+mn-ea"/>
              <a:cs typeface="+mn-cs"/>
            </a:rPr>
            <a:t>1 = least exposed (e.g. animal sleeps in a well-protected den) </a:t>
          </a:r>
        </a:p>
        <a:p>
          <a:pPr fontAlgn="base"/>
          <a:r>
            <a:rPr lang="en-US" sz="1400" b="0" i="0">
              <a:solidFill>
                <a:srgbClr val="E2AC00"/>
              </a:solidFill>
              <a:effectLst/>
              <a:latin typeface="+mn-lt"/>
              <a:ea typeface="+mn-ea"/>
              <a:cs typeface="+mn-cs"/>
            </a:rPr>
            <a:t>     - 5 = most exposed</a:t>
          </a:r>
        </a:p>
        <a:p>
          <a:pPr fontAlgn="base"/>
          <a:r>
            <a:rPr lang="en-US" sz="1400" b="0" i="0">
              <a:solidFill>
                <a:srgbClr val="E2AC00"/>
              </a:solidFill>
              <a:effectLst/>
              <a:latin typeface="+mn-lt"/>
              <a:ea typeface="+mn-ea"/>
              <a:cs typeface="+mn-cs"/>
            </a:rPr>
            <a:t>-</a:t>
          </a:r>
          <a:r>
            <a:rPr lang="en-US" sz="1400" b="0" i="0" baseline="0">
              <a:solidFill>
                <a:srgbClr val="E2AC00"/>
              </a:solidFill>
              <a:effectLst/>
              <a:latin typeface="+mn-lt"/>
              <a:ea typeface="+mn-ea"/>
              <a:cs typeface="+mn-cs"/>
            </a:rPr>
            <a:t> O</a:t>
          </a:r>
          <a:r>
            <a:rPr lang="en-US" sz="1400" b="0" i="0">
              <a:solidFill>
                <a:srgbClr val="E2AC00"/>
              </a:solidFill>
              <a:effectLst/>
              <a:latin typeface="+mn-lt"/>
              <a:ea typeface="+mn-ea"/>
              <a:cs typeface="+mn-cs"/>
            </a:rPr>
            <a:t>verall danger index (1-5)</a:t>
          </a:r>
        </a:p>
        <a:p>
          <a:pPr fontAlgn="base"/>
          <a:r>
            <a:rPr lang="en-US" sz="1400" b="0" i="0" baseline="0">
              <a:solidFill>
                <a:srgbClr val="E2AC00"/>
              </a:solidFill>
              <a:effectLst/>
              <a:latin typeface="+mn-lt"/>
              <a:ea typeface="+mn-ea"/>
              <a:cs typeface="+mn-cs"/>
            </a:rPr>
            <a:t>     - </a:t>
          </a:r>
          <a:r>
            <a:rPr lang="en-US" sz="1400" b="0" i="0">
              <a:solidFill>
                <a:srgbClr val="E2AC00"/>
              </a:solidFill>
              <a:effectLst/>
              <a:latin typeface="+mn-lt"/>
              <a:ea typeface="+mn-ea"/>
              <a:cs typeface="+mn-cs"/>
            </a:rPr>
            <a:t>1 = least danger (from other animals) </a:t>
          </a:r>
        </a:p>
        <a:p>
          <a:pPr fontAlgn="base"/>
          <a:r>
            <a:rPr lang="en-US" sz="1400" b="0" i="0">
              <a:solidFill>
                <a:srgbClr val="E2AC00"/>
              </a:solidFill>
              <a:effectLst/>
              <a:latin typeface="+mn-lt"/>
              <a:ea typeface="+mn-ea"/>
              <a:cs typeface="+mn-cs"/>
            </a:rPr>
            <a:t>     - 5 = most danger (from other animals)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6.845741898149" createdVersion="8" refreshedVersion="8" minRefreshableVersion="3" recordCount="62" xr:uid="{3D4265E2-FA37-4174-BC1D-D2680D4017A7}">
  <cacheSource type="worksheet">
    <worksheetSource name="Table1"/>
  </cacheSource>
  <cacheFields count="8">
    <cacheField name="body_weight" numFmtId="0">
      <sharedItems containsSemiMixedTypes="0" containsString="0" containsNumber="1" minValue="5.0000000000000001E-3" maxValue="6654" count="60">
        <n v="6654"/>
        <n v="1"/>
        <n v="3.3849999999999998"/>
        <n v="0.92"/>
        <n v="2547"/>
        <n v="10.55"/>
        <n v="2.3E-2"/>
        <n v="160"/>
        <n v="3.3"/>
        <n v="52.16"/>
        <n v="0.42499999999999999"/>
        <n v="465"/>
        <n v="0.55000000000000004"/>
        <n v="187.1"/>
        <n v="7.4999999999999997E-2"/>
        <n v="3"/>
        <n v="0.78500000000000003"/>
        <n v="0.2"/>
        <n v="1.41"/>
        <n v="60"/>
        <n v="529"/>
        <n v="27.66"/>
        <n v="0.12"/>
        <n v="207"/>
        <n v="85"/>
        <n v="36.33"/>
        <n v="0.10100000000000001"/>
        <n v="1.04"/>
        <n v="521"/>
        <n v="100"/>
        <n v="35"/>
        <n v="5.0000000000000001E-3"/>
        <n v="0.01"/>
        <n v="62"/>
        <n v="0.122"/>
        <n v="1.35"/>
        <n v="4.8000000000000001E-2"/>
        <n v="1.7"/>
        <n v="3.5"/>
        <n v="250"/>
        <n v="0.48"/>
        <n v="10"/>
        <n v="1.62"/>
        <n v="192"/>
        <n v="2.5"/>
        <n v="4.2880000000000003"/>
        <n v="0.28000000000000003"/>
        <n v="4.2350000000000003"/>
        <n v="6.8"/>
        <n v="0.75"/>
        <n v="3.6"/>
        <n v="14.83"/>
        <n v="55.5"/>
        <n v="1.4"/>
        <n v="0.06"/>
        <n v="0.9"/>
        <n v="2"/>
        <n v="0.104"/>
        <n v="4.1900000000000004"/>
        <n v="4.05"/>
      </sharedItems>
    </cacheField>
    <cacheField name="brain_weight" numFmtId="0">
      <sharedItems containsSemiMixedTypes="0" containsString="0" containsNumber="1" minValue="0.14000000000000001" maxValue="5712"/>
    </cacheField>
    <cacheField name="max_life_span" numFmtId="0">
      <sharedItems containsMixedTypes="1" containsNumber="1" minValue="2" maxValue="100" count="48">
        <n v="38.6"/>
        <n v="4.5"/>
        <n v="14"/>
        <s v="?"/>
        <n v="69"/>
        <n v="27"/>
        <n v="19"/>
        <n v="30.4"/>
        <n v="28"/>
        <n v="50"/>
        <n v="7"/>
        <n v="30"/>
        <n v="40"/>
        <n v="3.5"/>
        <n v="6"/>
        <n v="10.4"/>
        <n v="34"/>
        <n v="20"/>
        <n v="3.9"/>
        <n v="39.299999999999997"/>
        <n v="41"/>
        <n v="16.2"/>
        <n v="9"/>
        <n v="7.6"/>
        <n v="46"/>
        <n v="22.4"/>
        <n v="16.3"/>
        <n v="2.6"/>
        <n v="24"/>
        <n v="100"/>
        <n v="3.2"/>
        <n v="2"/>
        <n v="5"/>
        <n v="6.5"/>
        <n v="23.6"/>
        <n v="12"/>
        <n v="20.2"/>
        <n v="13"/>
        <n v="18"/>
        <n v="13.7"/>
        <n v="4.7"/>
        <n v="9.8000000000000007"/>
        <n v="29"/>
        <n v="17"/>
        <n v="12.7"/>
        <n v="7.5"/>
        <n v="2.2999999999999998"/>
        <n v="3"/>
      </sharedItems>
    </cacheField>
    <cacheField name="gestation_time" numFmtId="0">
      <sharedItems containsMixedTypes="1" containsNumber="1" minValue="12" maxValue="645" count="50">
        <n v="645"/>
        <n v="42"/>
        <n v="60"/>
        <n v="25"/>
        <n v="624"/>
        <n v="180"/>
        <n v="35"/>
        <n v="392"/>
        <n v="63"/>
        <n v="230"/>
        <n v="112"/>
        <n v="281"/>
        <s v="?"/>
        <n v="365"/>
        <n v="28"/>
        <n v="120"/>
        <n v="400"/>
        <n v="148"/>
        <n v="16"/>
        <n v="252"/>
        <n v="310"/>
        <n v="68"/>
        <n v="336"/>
        <n v="100"/>
        <n v="33"/>
        <n v="21.5"/>
        <n v="50"/>
        <n v="267"/>
        <n v="30"/>
        <n v="45"/>
        <n v="19"/>
        <n v="12"/>
        <n v="440"/>
        <n v="140"/>
        <n v="170"/>
        <n v="17"/>
        <n v="115"/>
        <n v="31"/>
        <n v="21"/>
        <n v="52"/>
        <n v="164"/>
        <n v="225"/>
        <n v="150"/>
        <n v="151"/>
        <n v="90"/>
        <n v="200"/>
        <n v="46"/>
        <n v="210"/>
        <n v="14"/>
        <n v="38"/>
      </sharedItems>
    </cacheField>
    <cacheField name="predation_index" numFmtId="0">
      <sharedItems containsSemiMixedTypes="0" containsString="0" containsNumber="1" containsInteger="1" minValue="1" maxValue="5" count="5">
        <n v="3"/>
        <n v="1"/>
        <n v="5"/>
        <n v="4"/>
        <n v="2"/>
      </sharedItems>
    </cacheField>
    <cacheField name="sleep_exposure_index" numFmtId="0">
      <sharedItems containsSemiMixedTypes="0" containsString="0" containsNumber="1" containsInteger="1" minValue="1" maxValue="5" count="5">
        <n v="5"/>
        <n v="1"/>
        <n v="2"/>
        <n v="4"/>
        <n v="3"/>
      </sharedItems>
    </cacheField>
    <cacheField name="danger_index" numFmtId="0">
      <sharedItems containsSemiMixedTypes="0" containsString="0" containsNumber="1" containsInteger="1" minValue="1" maxValue="5" count="5">
        <n v="3"/>
        <n v="1"/>
        <n v="4"/>
        <n v="5"/>
        <n v="2"/>
      </sharedItems>
    </cacheField>
    <cacheField name="total_sleep" numFmtId="0">
      <sharedItems containsMixedTypes="1" containsNumber="1" minValue="2.6" maxValue="19.899999999999999"/>
    </cacheField>
  </cacheFields>
  <extLst>
    <ext xmlns:x14="http://schemas.microsoft.com/office/spreadsheetml/2009/9/main" uri="{725AE2AE-9491-48be-B2B4-4EB974FC3084}">
      <x14:pivotCacheDefinition pivotCacheId="789164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n v="5712"/>
    <x v="0"/>
    <x v="0"/>
    <x v="0"/>
    <x v="0"/>
    <x v="0"/>
    <n v="3.3"/>
  </r>
  <r>
    <x v="1"/>
    <n v="6.6"/>
    <x v="1"/>
    <x v="1"/>
    <x v="0"/>
    <x v="1"/>
    <x v="0"/>
    <n v="8.3000000000000007"/>
  </r>
  <r>
    <x v="2"/>
    <n v="44.5"/>
    <x v="2"/>
    <x v="2"/>
    <x v="1"/>
    <x v="1"/>
    <x v="1"/>
    <n v="12.5"/>
  </r>
  <r>
    <x v="3"/>
    <n v="5.7"/>
    <x v="3"/>
    <x v="3"/>
    <x v="2"/>
    <x v="2"/>
    <x v="0"/>
    <n v="16.5"/>
  </r>
  <r>
    <x v="4"/>
    <n v="4603"/>
    <x v="4"/>
    <x v="4"/>
    <x v="0"/>
    <x v="0"/>
    <x v="2"/>
    <n v="3.9"/>
  </r>
  <r>
    <x v="5"/>
    <n v="179.5"/>
    <x v="5"/>
    <x v="5"/>
    <x v="3"/>
    <x v="3"/>
    <x v="2"/>
    <n v="9.8000000000000007"/>
  </r>
  <r>
    <x v="6"/>
    <n v="0.3"/>
    <x v="6"/>
    <x v="6"/>
    <x v="1"/>
    <x v="1"/>
    <x v="1"/>
    <n v="19.7"/>
  </r>
  <r>
    <x v="7"/>
    <n v="169"/>
    <x v="7"/>
    <x v="7"/>
    <x v="3"/>
    <x v="0"/>
    <x v="2"/>
    <n v="6.2"/>
  </r>
  <r>
    <x v="8"/>
    <n v="25.6"/>
    <x v="8"/>
    <x v="8"/>
    <x v="1"/>
    <x v="2"/>
    <x v="1"/>
    <n v="14.5"/>
  </r>
  <r>
    <x v="9"/>
    <n v="440"/>
    <x v="9"/>
    <x v="9"/>
    <x v="1"/>
    <x v="1"/>
    <x v="1"/>
    <n v="9.6999999999999993"/>
  </r>
  <r>
    <x v="10"/>
    <n v="6.4"/>
    <x v="10"/>
    <x v="10"/>
    <x v="2"/>
    <x v="3"/>
    <x v="2"/>
    <n v="12.5"/>
  </r>
  <r>
    <x v="11"/>
    <n v="423"/>
    <x v="11"/>
    <x v="11"/>
    <x v="2"/>
    <x v="0"/>
    <x v="3"/>
    <n v="3.9"/>
  </r>
  <r>
    <x v="12"/>
    <n v="2.4"/>
    <x v="3"/>
    <x v="12"/>
    <x v="4"/>
    <x v="1"/>
    <x v="4"/>
    <n v="10.3"/>
  </r>
  <r>
    <x v="13"/>
    <n v="419"/>
    <x v="12"/>
    <x v="13"/>
    <x v="2"/>
    <x v="0"/>
    <x v="3"/>
    <n v="3.1"/>
  </r>
  <r>
    <x v="14"/>
    <n v="1.2"/>
    <x v="13"/>
    <x v="1"/>
    <x v="1"/>
    <x v="1"/>
    <x v="1"/>
    <n v="8.4"/>
  </r>
  <r>
    <x v="15"/>
    <n v="25"/>
    <x v="9"/>
    <x v="14"/>
    <x v="4"/>
    <x v="2"/>
    <x v="4"/>
    <n v="8.6"/>
  </r>
  <r>
    <x v="16"/>
    <n v="3.5"/>
    <x v="14"/>
    <x v="1"/>
    <x v="4"/>
    <x v="2"/>
    <x v="4"/>
    <n v="10.7"/>
  </r>
  <r>
    <x v="17"/>
    <n v="5"/>
    <x v="15"/>
    <x v="15"/>
    <x v="4"/>
    <x v="2"/>
    <x v="4"/>
    <n v="10.7"/>
  </r>
  <r>
    <x v="18"/>
    <n v="17.5"/>
    <x v="16"/>
    <x v="12"/>
    <x v="1"/>
    <x v="2"/>
    <x v="1"/>
    <n v="6.1"/>
  </r>
  <r>
    <x v="19"/>
    <n v="81"/>
    <x v="10"/>
    <x v="12"/>
    <x v="1"/>
    <x v="1"/>
    <x v="1"/>
    <n v="18.100000000000001"/>
  </r>
  <r>
    <x v="20"/>
    <n v="680"/>
    <x v="8"/>
    <x v="16"/>
    <x v="2"/>
    <x v="0"/>
    <x v="3"/>
    <s v="?"/>
  </r>
  <r>
    <x v="21"/>
    <n v="115"/>
    <x v="17"/>
    <x v="17"/>
    <x v="2"/>
    <x v="0"/>
    <x v="3"/>
    <n v="3.8"/>
  </r>
  <r>
    <x v="22"/>
    <n v="1"/>
    <x v="18"/>
    <x v="18"/>
    <x v="0"/>
    <x v="1"/>
    <x v="4"/>
    <n v="14.4"/>
  </r>
  <r>
    <x v="23"/>
    <n v="406"/>
    <x v="19"/>
    <x v="19"/>
    <x v="1"/>
    <x v="3"/>
    <x v="1"/>
    <n v="12"/>
  </r>
  <r>
    <x v="24"/>
    <n v="325"/>
    <x v="20"/>
    <x v="20"/>
    <x v="1"/>
    <x v="4"/>
    <x v="1"/>
    <n v="6.2"/>
  </r>
  <r>
    <x v="25"/>
    <n v="119.5"/>
    <x v="21"/>
    <x v="8"/>
    <x v="1"/>
    <x v="1"/>
    <x v="1"/>
    <n v="13"/>
  </r>
  <r>
    <x v="26"/>
    <n v="4"/>
    <x v="22"/>
    <x v="14"/>
    <x v="2"/>
    <x v="1"/>
    <x v="0"/>
    <n v="13.8"/>
  </r>
  <r>
    <x v="27"/>
    <n v="5.5"/>
    <x v="23"/>
    <x v="21"/>
    <x v="2"/>
    <x v="4"/>
    <x v="2"/>
    <n v="8.1999999999999993"/>
  </r>
  <r>
    <x v="28"/>
    <n v="655"/>
    <x v="24"/>
    <x v="22"/>
    <x v="2"/>
    <x v="0"/>
    <x v="3"/>
    <n v="2.9"/>
  </r>
  <r>
    <x v="29"/>
    <n v="157"/>
    <x v="25"/>
    <x v="23"/>
    <x v="1"/>
    <x v="1"/>
    <x v="1"/>
    <n v="10.8"/>
  </r>
  <r>
    <x v="30"/>
    <n v="56"/>
    <x v="26"/>
    <x v="24"/>
    <x v="0"/>
    <x v="0"/>
    <x v="2"/>
    <s v="?"/>
  </r>
  <r>
    <x v="31"/>
    <n v="0.14000000000000001"/>
    <x v="27"/>
    <x v="25"/>
    <x v="2"/>
    <x v="2"/>
    <x v="2"/>
    <n v="9.1"/>
  </r>
  <r>
    <x v="32"/>
    <n v="0.25"/>
    <x v="28"/>
    <x v="26"/>
    <x v="1"/>
    <x v="1"/>
    <x v="1"/>
    <n v="19.899999999999999"/>
  </r>
  <r>
    <x v="33"/>
    <n v="1320"/>
    <x v="29"/>
    <x v="27"/>
    <x v="1"/>
    <x v="1"/>
    <x v="1"/>
    <n v="8"/>
  </r>
  <r>
    <x v="34"/>
    <n v="3"/>
    <x v="3"/>
    <x v="28"/>
    <x v="4"/>
    <x v="1"/>
    <x v="1"/>
    <n v="10.6"/>
  </r>
  <r>
    <x v="35"/>
    <n v="8.1"/>
    <x v="3"/>
    <x v="29"/>
    <x v="0"/>
    <x v="1"/>
    <x v="0"/>
    <n v="11.2"/>
  </r>
  <r>
    <x v="6"/>
    <n v="0.4"/>
    <x v="30"/>
    <x v="30"/>
    <x v="3"/>
    <x v="1"/>
    <x v="0"/>
    <n v="13.2"/>
  </r>
  <r>
    <x v="36"/>
    <n v="0.33"/>
    <x v="31"/>
    <x v="28"/>
    <x v="3"/>
    <x v="1"/>
    <x v="0"/>
    <n v="12.8"/>
  </r>
  <r>
    <x v="37"/>
    <n v="6.3"/>
    <x v="32"/>
    <x v="31"/>
    <x v="4"/>
    <x v="1"/>
    <x v="1"/>
    <n v="19.399999999999999"/>
  </r>
  <r>
    <x v="38"/>
    <n v="10.8"/>
    <x v="33"/>
    <x v="15"/>
    <x v="4"/>
    <x v="1"/>
    <x v="1"/>
    <n v="17.399999999999999"/>
  </r>
  <r>
    <x v="39"/>
    <n v="490"/>
    <x v="34"/>
    <x v="32"/>
    <x v="2"/>
    <x v="0"/>
    <x v="3"/>
    <s v="?"/>
  </r>
  <r>
    <x v="40"/>
    <n v="15.5"/>
    <x v="35"/>
    <x v="33"/>
    <x v="4"/>
    <x v="2"/>
    <x v="4"/>
    <n v="17"/>
  </r>
  <r>
    <x v="41"/>
    <n v="115"/>
    <x v="36"/>
    <x v="34"/>
    <x v="3"/>
    <x v="3"/>
    <x v="2"/>
    <n v="10.9"/>
  </r>
  <r>
    <x v="42"/>
    <n v="11.4"/>
    <x v="37"/>
    <x v="35"/>
    <x v="4"/>
    <x v="1"/>
    <x v="4"/>
    <n v="13.7"/>
  </r>
  <r>
    <x v="43"/>
    <n v="180"/>
    <x v="5"/>
    <x v="36"/>
    <x v="3"/>
    <x v="3"/>
    <x v="2"/>
    <n v="8.4"/>
  </r>
  <r>
    <x v="44"/>
    <n v="12.1"/>
    <x v="38"/>
    <x v="37"/>
    <x v="2"/>
    <x v="0"/>
    <x v="3"/>
    <n v="8.4"/>
  </r>
  <r>
    <x v="45"/>
    <n v="39.200000000000003"/>
    <x v="39"/>
    <x v="8"/>
    <x v="4"/>
    <x v="2"/>
    <x v="4"/>
    <n v="12.5"/>
  </r>
  <r>
    <x v="46"/>
    <n v="1.9"/>
    <x v="40"/>
    <x v="38"/>
    <x v="0"/>
    <x v="1"/>
    <x v="0"/>
    <n v="13.2"/>
  </r>
  <r>
    <x v="47"/>
    <n v="50.4"/>
    <x v="41"/>
    <x v="39"/>
    <x v="1"/>
    <x v="1"/>
    <x v="1"/>
    <n v="9.8000000000000007"/>
  </r>
  <r>
    <x v="48"/>
    <n v="179"/>
    <x v="42"/>
    <x v="40"/>
    <x v="4"/>
    <x v="4"/>
    <x v="4"/>
    <n v="9.6"/>
  </r>
  <r>
    <x v="49"/>
    <n v="12.3"/>
    <x v="10"/>
    <x v="41"/>
    <x v="4"/>
    <x v="2"/>
    <x v="4"/>
    <n v="6.6"/>
  </r>
  <r>
    <x v="50"/>
    <n v="21"/>
    <x v="14"/>
    <x v="41"/>
    <x v="0"/>
    <x v="2"/>
    <x v="0"/>
    <n v="5.4"/>
  </r>
  <r>
    <x v="51"/>
    <n v="98.2"/>
    <x v="43"/>
    <x v="42"/>
    <x v="2"/>
    <x v="0"/>
    <x v="3"/>
    <n v="2.6"/>
  </r>
  <r>
    <x v="52"/>
    <n v="175"/>
    <x v="17"/>
    <x v="43"/>
    <x v="2"/>
    <x v="0"/>
    <x v="3"/>
    <n v="3.8"/>
  </r>
  <r>
    <x v="53"/>
    <n v="12.5"/>
    <x v="44"/>
    <x v="44"/>
    <x v="4"/>
    <x v="2"/>
    <x v="4"/>
    <n v="11"/>
  </r>
  <r>
    <x v="54"/>
    <n v="1"/>
    <x v="13"/>
    <x v="12"/>
    <x v="0"/>
    <x v="1"/>
    <x v="4"/>
    <n v="10.3"/>
  </r>
  <r>
    <x v="55"/>
    <n v="2.6"/>
    <x v="1"/>
    <x v="2"/>
    <x v="4"/>
    <x v="1"/>
    <x v="4"/>
    <n v="13.3"/>
  </r>
  <r>
    <x v="56"/>
    <n v="12.3"/>
    <x v="45"/>
    <x v="45"/>
    <x v="0"/>
    <x v="1"/>
    <x v="0"/>
    <n v="5.4"/>
  </r>
  <r>
    <x v="57"/>
    <n v="2.5"/>
    <x v="46"/>
    <x v="46"/>
    <x v="0"/>
    <x v="2"/>
    <x v="4"/>
    <n v="15.8"/>
  </r>
  <r>
    <x v="58"/>
    <n v="58"/>
    <x v="28"/>
    <x v="47"/>
    <x v="3"/>
    <x v="4"/>
    <x v="2"/>
    <n v="10.3"/>
  </r>
  <r>
    <x v="38"/>
    <n v="3.9"/>
    <x v="47"/>
    <x v="48"/>
    <x v="4"/>
    <x v="1"/>
    <x v="1"/>
    <n v="19.399999999999999"/>
  </r>
  <r>
    <x v="59"/>
    <n v="17"/>
    <x v="37"/>
    <x v="49"/>
    <x v="0"/>
    <x v="1"/>
    <x v="1"/>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CDBC29-B251-4520-BE86-93BEA796D85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8">
    <pivotField axis="axisRow" showAll="0" measureFilter="1" sortType="ascending">
      <items count="61">
        <item x="31"/>
        <item x="32"/>
        <item x="6"/>
        <item x="36"/>
        <item x="54"/>
        <item x="14"/>
        <item x="26"/>
        <item x="57"/>
        <item x="22"/>
        <item x="34"/>
        <item x="17"/>
        <item x="46"/>
        <item x="10"/>
        <item x="40"/>
        <item x="12"/>
        <item x="49"/>
        <item x="16"/>
        <item x="55"/>
        <item x="3"/>
        <item x="1"/>
        <item x="27"/>
        <item x="35"/>
        <item x="53"/>
        <item x="18"/>
        <item x="42"/>
        <item x="37"/>
        <item x="56"/>
        <item x="44"/>
        <item x="15"/>
        <item x="8"/>
        <item x="2"/>
        <item x="38"/>
        <item x="50"/>
        <item x="59"/>
        <item x="58"/>
        <item x="47"/>
        <item x="45"/>
        <item x="48"/>
        <item x="41"/>
        <item x="5"/>
        <item x="51"/>
        <item x="21"/>
        <item x="30"/>
        <item x="25"/>
        <item x="9"/>
        <item x="52"/>
        <item x="19"/>
        <item x="33"/>
        <item x="24"/>
        <item x="29"/>
        <item x="7"/>
        <item x="13"/>
        <item x="43"/>
        <item x="23"/>
        <item x="39"/>
        <item x="11"/>
        <item x="28"/>
        <item x="20"/>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6">
        <item x="1"/>
        <item x="4"/>
        <item x="0"/>
        <item x="3"/>
        <item x="2"/>
        <item t="default"/>
      </items>
    </pivotField>
    <pivotField showAll="0">
      <items count="6">
        <item x="1"/>
        <item x="2"/>
        <item x="4"/>
        <item x="3"/>
        <item x="0"/>
        <item t="default"/>
      </items>
    </pivotField>
    <pivotField showAll="0">
      <items count="6">
        <item x="1"/>
        <item x="4"/>
        <item x="0"/>
        <item x="2"/>
        <item x="3"/>
        <item t="default"/>
      </items>
    </pivotField>
    <pivotField showAll="0"/>
  </pivotFields>
  <rowFields count="1">
    <field x="0"/>
  </rowFields>
  <rowItems count="11">
    <i>
      <x v="53"/>
    </i>
    <i>
      <x v="51"/>
    </i>
    <i>
      <x v="55"/>
    </i>
    <i>
      <x v="44"/>
    </i>
    <i>
      <x v="54"/>
    </i>
    <i>
      <x v="56"/>
    </i>
    <i>
      <x v="57"/>
    </i>
    <i>
      <x v="47"/>
    </i>
    <i>
      <x v="58"/>
    </i>
    <i>
      <x v="59"/>
    </i>
    <i t="grand">
      <x/>
    </i>
  </rowItems>
  <colItems count="1">
    <i/>
  </colItems>
  <dataFields count="1">
    <dataField name="Max of brain_weight" fld="1" subtotal="max" baseField="0" baseItem="0"/>
  </dataFields>
  <chartFormats count="3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59"/>
          </reference>
        </references>
      </pivotArea>
    </chartFormat>
    <chartFormat chart="7" format="2">
      <pivotArea type="data" outline="0" fieldPosition="0">
        <references count="2">
          <reference field="4294967294" count="1" selected="0">
            <x v="0"/>
          </reference>
          <reference field="0" count="1" selected="0">
            <x v="58"/>
          </reference>
        </references>
      </pivotArea>
    </chartFormat>
    <chartFormat chart="7" format="3">
      <pivotArea type="data" outline="0" fieldPosition="0">
        <references count="2">
          <reference field="4294967294" count="1" selected="0">
            <x v="0"/>
          </reference>
          <reference field="0" count="1" selected="0">
            <x v="47"/>
          </reference>
        </references>
      </pivotArea>
    </chartFormat>
    <chartFormat chart="7" format="4">
      <pivotArea type="data" outline="0" fieldPosition="0">
        <references count="2">
          <reference field="4294967294" count="1" selected="0">
            <x v="0"/>
          </reference>
          <reference field="0" count="1" selected="0">
            <x v="57"/>
          </reference>
        </references>
      </pivotArea>
    </chartFormat>
    <chartFormat chart="7" format="5">
      <pivotArea type="data" outline="0" fieldPosition="0">
        <references count="2">
          <reference field="4294967294" count="1" selected="0">
            <x v="0"/>
          </reference>
          <reference field="0" count="1" selected="0">
            <x v="56"/>
          </reference>
        </references>
      </pivotArea>
    </chartFormat>
    <chartFormat chart="7" format="6">
      <pivotArea type="data" outline="0" fieldPosition="0">
        <references count="2">
          <reference field="4294967294" count="1" selected="0">
            <x v="0"/>
          </reference>
          <reference field="0" count="1" selected="0">
            <x v="54"/>
          </reference>
        </references>
      </pivotArea>
    </chartFormat>
    <chartFormat chart="7" format="7">
      <pivotArea type="data" outline="0" fieldPosition="0">
        <references count="2">
          <reference field="4294967294" count="1" selected="0">
            <x v="0"/>
          </reference>
          <reference field="0" count="1" selected="0">
            <x v="44"/>
          </reference>
        </references>
      </pivotArea>
    </chartFormat>
    <chartFormat chart="7" format="8">
      <pivotArea type="data" outline="0" fieldPosition="0">
        <references count="2">
          <reference field="4294967294" count="1" selected="0">
            <x v="0"/>
          </reference>
          <reference field="0" count="1" selected="0">
            <x v="55"/>
          </reference>
        </references>
      </pivotArea>
    </chartFormat>
    <chartFormat chart="7" format="9">
      <pivotArea type="data" outline="0" fieldPosition="0">
        <references count="2">
          <reference field="4294967294" count="1" selected="0">
            <x v="0"/>
          </reference>
          <reference field="0" count="1" selected="0">
            <x v="53"/>
          </reference>
        </references>
      </pivotArea>
    </chartFormat>
    <chartFormat chart="7" format="10">
      <pivotArea type="data" outline="0" fieldPosition="0">
        <references count="2">
          <reference field="4294967294" count="1" selected="0">
            <x v="0"/>
          </reference>
          <reference field="0" count="1" selected="0">
            <x v="51"/>
          </reference>
        </references>
      </pivotArea>
    </chartFormat>
    <chartFormat chart="29" format="33" series="1">
      <pivotArea type="data" outline="0" fieldPosition="0">
        <references count="1">
          <reference field="4294967294" count="1" selected="0">
            <x v="0"/>
          </reference>
        </references>
      </pivotArea>
    </chartFormat>
    <chartFormat chart="29" format="34">
      <pivotArea type="data" outline="0" fieldPosition="0">
        <references count="2">
          <reference field="4294967294" count="1" selected="0">
            <x v="0"/>
          </reference>
          <reference field="0" count="1" selected="0">
            <x v="53"/>
          </reference>
        </references>
      </pivotArea>
    </chartFormat>
    <chartFormat chart="29" format="35">
      <pivotArea type="data" outline="0" fieldPosition="0">
        <references count="2">
          <reference field="4294967294" count="1" selected="0">
            <x v="0"/>
          </reference>
          <reference field="0" count="1" selected="0">
            <x v="51"/>
          </reference>
        </references>
      </pivotArea>
    </chartFormat>
    <chartFormat chart="29" format="36">
      <pivotArea type="data" outline="0" fieldPosition="0">
        <references count="2">
          <reference field="4294967294" count="1" selected="0">
            <x v="0"/>
          </reference>
          <reference field="0" count="1" selected="0">
            <x v="55"/>
          </reference>
        </references>
      </pivotArea>
    </chartFormat>
    <chartFormat chart="29" format="37">
      <pivotArea type="data" outline="0" fieldPosition="0">
        <references count="2">
          <reference field="4294967294" count="1" selected="0">
            <x v="0"/>
          </reference>
          <reference field="0" count="1" selected="0">
            <x v="44"/>
          </reference>
        </references>
      </pivotArea>
    </chartFormat>
    <chartFormat chart="29" format="38">
      <pivotArea type="data" outline="0" fieldPosition="0">
        <references count="2">
          <reference field="4294967294" count="1" selected="0">
            <x v="0"/>
          </reference>
          <reference field="0" count="1" selected="0">
            <x v="54"/>
          </reference>
        </references>
      </pivotArea>
    </chartFormat>
    <chartFormat chart="29" format="39">
      <pivotArea type="data" outline="0" fieldPosition="0">
        <references count="2">
          <reference field="4294967294" count="1" selected="0">
            <x v="0"/>
          </reference>
          <reference field="0" count="1" selected="0">
            <x v="56"/>
          </reference>
        </references>
      </pivotArea>
    </chartFormat>
    <chartFormat chart="29" format="40">
      <pivotArea type="data" outline="0" fieldPosition="0">
        <references count="2">
          <reference field="4294967294" count="1" selected="0">
            <x v="0"/>
          </reference>
          <reference field="0" count="1" selected="0">
            <x v="57"/>
          </reference>
        </references>
      </pivotArea>
    </chartFormat>
    <chartFormat chart="29" format="41">
      <pivotArea type="data" outline="0" fieldPosition="0">
        <references count="2">
          <reference field="4294967294" count="1" selected="0">
            <x v="0"/>
          </reference>
          <reference field="0" count="1" selected="0">
            <x v="47"/>
          </reference>
        </references>
      </pivotArea>
    </chartFormat>
    <chartFormat chart="29" format="42">
      <pivotArea type="data" outline="0" fieldPosition="0">
        <references count="2">
          <reference field="4294967294" count="1" selected="0">
            <x v="0"/>
          </reference>
          <reference field="0" count="1" selected="0">
            <x v="58"/>
          </reference>
        </references>
      </pivotArea>
    </chartFormat>
    <chartFormat chart="29" format="43">
      <pivotArea type="data" outline="0" fieldPosition="0">
        <references count="2">
          <reference field="4294967294" count="1" selected="0">
            <x v="0"/>
          </reference>
          <reference field="0" count="1" selected="0">
            <x v="59"/>
          </reference>
        </references>
      </pivotArea>
    </chartFormat>
    <chartFormat chart="31" format="44" series="1">
      <pivotArea type="data" outline="0" fieldPosition="0">
        <references count="1">
          <reference field="4294967294" count="1" selected="0">
            <x v="0"/>
          </reference>
        </references>
      </pivotArea>
    </chartFormat>
    <chartFormat chart="31" format="45">
      <pivotArea type="data" outline="0" fieldPosition="0">
        <references count="2">
          <reference field="4294967294" count="1" selected="0">
            <x v="0"/>
          </reference>
          <reference field="0" count="1" selected="0">
            <x v="53"/>
          </reference>
        </references>
      </pivotArea>
    </chartFormat>
    <chartFormat chart="31" format="46">
      <pivotArea type="data" outline="0" fieldPosition="0">
        <references count="2">
          <reference field="4294967294" count="1" selected="0">
            <x v="0"/>
          </reference>
          <reference field="0" count="1" selected="0">
            <x v="51"/>
          </reference>
        </references>
      </pivotArea>
    </chartFormat>
    <chartFormat chart="31" format="47">
      <pivotArea type="data" outline="0" fieldPosition="0">
        <references count="2">
          <reference field="4294967294" count="1" selected="0">
            <x v="0"/>
          </reference>
          <reference field="0" count="1" selected="0">
            <x v="55"/>
          </reference>
        </references>
      </pivotArea>
    </chartFormat>
    <chartFormat chart="31" format="48">
      <pivotArea type="data" outline="0" fieldPosition="0">
        <references count="2">
          <reference field="4294967294" count="1" selected="0">
            <x v="0"/>
          </reference>
          <reference field="0" count="1" selected="0">
            <x v="44"/>
          </reference>
        </references>
      </pivotArea>
    </chartFormat>
    <chartFormat chart="31" format="49">
      <pivotArea type="data" outline="0" fieldPosition="0">
        <references count="2">
          <reference field="4294967294" count="1" selected="0">
            <x v="0"/>
          </reference>
          <reference field="0" count="1" selected="0">
            <x v="54"/>
          </reference>
        </references>
      </pivotArea>
    </chartFormat>
    <chartFormat chart="31" format="50">
      <pivotArea type="data" outline="0" fieldPosition="0">
        <references count="2">
          <reference field="4294967294" count="1" selected="0">
            <x v="0"/>
          </reference>
          <reference field="0" count="1" selected="0">
            <x v="56"/>
          </reference>
        </references>
      </pivotArea>
    </chartFormat>
    <chartFormat chart="31" format="51">
      <pivotArea type="data" outline="0" fieldPosition="0">
        <references count="2">
          <reference field="4294967294" count="1" selected="0">
            <x v="0"/>
          </reference>
          <reference field="0" count="1" selected="0">
            <x v="57"/>
          </reference>
        </references>
      </pivotArea>
    </chartFormat>
    <chartFormat chart="31" format="52">
      <pivotArea type="data" outline="0" fieldPosition="0">
        <references count="2">
          <reference field="4294967294" count="1" selected="0">
            <x v="0"/>
          </reference>
          <reference field="0" count="1" selected="0">
            <x v="47"/>
          </reference>
        </references>
      </pivotArea>
    </chartFormat>
    <chartFormat chart="31" format="53">
      <pivotArea type="data" outline="0" fieldPosition="0">
        <references count="2">
          <reference field="4294967294" count="1" selected="0">
            <x v="0"/>
          </reference>
          <reference field="0" count="1" selected="0">
            <x v="58"/>
          </reference>
        </references>
      </pivotArea>
    </chartFormat>
    <chartFormat chart="31" format="54">
      <pivotArea type="data" outline="0" fieldPosition="0">
        <references count="2">
          <reference field="4294967294" count="1" selected="0">
            <x v="0"/>
          </reference>
          <reference field="0" count="1" selected="0">
            <x v="59"/>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FB1027-84C9-40F6-A369-2EE7DEDC80F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8">
    <pivotField axis="axisRow" showAll="0" measureFilter="1" sortType="ascending">
      <items count="61">
        <item x="0"/>
        <item x="4"/>
        <item x="20"/>
        <item x="28"/>
        <item x="11"/>
        <item x="39"/>
        <item x="23"/>
        <item x="43"/>
        <item x="13"/>
        <item x="7"/>
        <item x="29"/>
        <item x="24"/>
        <item x="33"/>
        <item x="19"/>
        <item x="52"/>
        <item x="9"/>
        <item x="25"/>
        <item x="30"/>
        <item x="21"/>
        <item x="51"/>
        <item x="5"/>
        <item x="41"/>
        <item x="48"/>
        <item x="45"/>
        <item x="47"/>
        <item x="58"/>
        <item x="59"/>
        <item x="50"/>
        <item x="38"/>
        <item x="2"/>
        <item x="8"/>
        <item x="15"/>
        <item x="44"/>
        <item x="56"/>
        <item x="37"/>
        <item x="42"/>
        <item x="18"/>
        <item x="53"/>
        <item x="35"/>
        <item x="27"/>
        <item x="1"/>
        <item x="3"/>
        <item x="55"/>
        <item x="16"/>
        <item x="49"/>
        <item x="12"/>
        <item x="40"/>
        <item x="10"/>
        <item x="46"/>
        <item x="17"/>
        <item x="34"/>
        <item x="22"/>
        <item x="57"/>
        <item x="26"/>
        <item x="14"/>
        <item x="54"/>
        <item x="36"/>
        <item x="6"/>
        <item x="32"/>
        <item x="3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0"/>
  </rowFields>
  <rowItems count="11">
    <i>
      <x v="36"/>
    </i>
    <i>
      <x/>
    </i>
    <i>
      <x v="6"/>
    </i>
    <i>
      <x v="8"/>
    </i>
    <i>
      <x v="11"/>
    </i>
    <i>
      <x v="3"/>
    </i>
    <i>
      <x v="15"/>
    </i>
    <i>
      <x v="31"/>
    </i>
    <i>
      <x v="1"/>
    </i>
    <i>
      <x v="12"/>
    </i>
    <i t="grand">
      <x/>
    </i>
  </rowItems>
  <colItems count="1">
    <i/>
  </colItems>
  <dataFields count="1">
    <dataField name="Max of max_life_span" fld="2" subtotal="max" baseField="0" baseItem="0"/>
  </dataFields>
  <chartFormats count="22">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0" count="1" selected="0">
            <x v="12"/>
          </reference>
        </references>
      </pivotArea>
    </chartFormat>
    <chartFormat chart="12" format="24">
      <pivotArea type="data" outline="0" fieldPosition="0">
        <references count="2">
          <reference field="4294967294" count="1" selected="0">
            <x v="0"/>
          </reference>
          <reference field="0" count="1" selected="0">
            <x v="1"/>
          </reference>
        </references>
      </pivotArea>
    </chartFormat>
    <chartFormat chart="12" format="25">
      <pivotArea type="data" outline="0" fieldPosition="0">
        <references count="2">
          <reference field="4294967294" count="1" selected="0">
            <x v="0"/>
          </reference>
          <reference field="0" count="1" selected="0">
            <x v="31"/>
          </reference>
        </references>
      </pivotArea>
    </chartFormat>
    <chartFormat chart="12" format="26">
      <pivotArea type="data" outline="0" fieldPosition="0">
        <references count="2">
          <reference field="4294967294" count="1" selected="0">
            <x v="0"/>
          </reference>
          <reference field="0" count="1" selected="0">
            <x v="15"/>
          </reference>
        </references>
      </pivotArea>
    </chartFormat>
    <chartFormat chart="12" format="27">
      <pivotArea type="data" outline="0" fieldPosition="0">
        <references count="2">
          <reference field="4294967294" count="1" selected="0">
            <x v="0"/>
          </reference>
          <reference field="0" count="1" selected="0">
            <x v="3"/>
          </reference>
        </references>
      </pivotArea>
    </chartFormat>
    <chartFormat chart="12" format="28">
      <pivotArea type="data" outline="0" fieldPosition="0">
        <references count="2">
          <reference field="4294967294" count="1" selected="0">
            <x v="0"/>
          </reference>
          <reference field="0" count="1" selected="0">
            <x v="11"/>
          </reference>
        </references>
      </pivotArea>
    </chartFormat>
    <chartFormat chart="12" format="29">
      <pivotArea type="data" outline="0" fieldPosition="0">
        <references count="2">
          <reference field="4294967294" count="1" selected="0">
            <x v="0"/>
          </reference>
          <reference field="0" count="1" selected="0">
            <x v="8"/>
          </reference>
        </references>
      </pivotArea>
    </chartFormat>
    <chartFormat chart="12" format="30">
      <pivotArea type="data" outline="0" fieldPosition="0">
        <references count="2">
          <reference field="4294967294" count="1" selected="0">
            <x v="0"/>
          </reference>
          <reference field="0" count="1" selected="0">
            <x v="6"/>
          </reference>
        </references>
      </pivotArea>
    </chartFormat>
    <chartFormat chart="12" format="31">
      <pivotArea type="data" outline="0" fieldPosition="0">
        <references count="2">
          <reference field="4294967294" count="1" selected="0">
            <x v="0"/>
          </reference>
          <reference field="0" count="1" selected="0">
            <x v="0"/>
          </reference>
        </references>
      </pivotArea>
    </chartFormat>
    <chartFormat chart="12" format="32">
      <pivotArea type="data" outline="0" fieldPosition="0">
        <references count="2">
          <reference field="4294967294" count="1" selected="0">
            <x v="0"/>
          </reference>
          <reference field="0" count="1" selected="0">
            <x v="36"/>
          </reference>
        </references>
      </pivotArea>
    </chartFormat>
    <chartFormat chart="16" format="66" series="1">
      <pivotArea type="data" outline="0" fieldPosition="0">
        <references count="1">
          <reference field="4294967294" count="1" selected="0">
            <x v="0"/>
          </reference>
        </references>
      </pivotArea>
    </chartFormat>
    <chartFormat chart="16" format="67">
      <pivotArea type="data" outline="0" fieldPosition="0">
        <references count="2">
          <reference field="4294967294" count="1" selected="0">
            <x v="0"/>
          </reference>
          <reference field="0" count="1" selected="0">
            <x v="36"/>
          </reference>
        </references>
      </pivotArea>
    </chartFormat>
    <chartFormat chart="16" format="68">
      <pivotArea type="data" outline="0" fieldPosition="0">
        <references count="2">
          <reference field="4294967294" count="1" selected="0">
            <x v="0"/>
          </reference>
          <reference field="0" count="1" selected="0">
            <x v="0"/>
          </reference>
        </references>
      </pivotArea>
    </chartFormat>
    <chartFormat chart="16" format="69">
      <pivotArea type="data" outline="0" fieldPosition="0">
        <references count="2">
          <reference field="4294967294" count="1" selected="0">
            <x v="0"/>
          </reference>
          <reference field="0" count="1" selected="0">
            <x v="6"/>
          </reference>
        </references>
      </pivotArea>
    </chartFormat>
    <chartFormat chart="16" format="70">
      <pivotArea type="data" outline="0" fieldPosition="0">
        <references count="2">
          <reference field="4294967294" count="1" selected="0">
            <x v="0"/>
          </reference>
          <reference field="0" count="1" selected="0">
            <x v="8"/>
          </reference>
        </references>
      </pivotArea>
    </chartFormat>
    <chartFormat chart="16" format="71">
      <pivotArea type="data" outline="0" fieldPosition="0">
        <references count="2">
          <reference field="4294967294" count="1" selected="0">
            <x v="0"/>
          </reference>
          <reference field="0" count="1" selected="0">
            <x v="11"/>
          </reference>
        </references>
      </pivotArea>
    </chartFormat>
    <chartFormat chart="16" format="72">
      <pivotArea type="data" outline="0" fieldPosition="0">
        <references count="2">
          <reference field="4294967294" count="1" selected="0">
            <x v="0"/>
          </reference>
          <reference field="0" count="1" selected="0">
            <x v="3"/>
          </reference>
        </references>
      </pivotArea>
    </chartFormat>
    <chartFormat chart="16" format="73">
      <pivotArea type="data" outline="0" fieldPosition="0">
        <references count="2">
          <reference field="4294967294" count="1" selected="0">
            <x v="0"/>
          </reference>
          <reference field="0" count="1" selected="0">
            <x v="15"/>
          </reference>
        </references>
      </pivotArea>
    </chartFormat>
    <chartFormat chart="16" format="74">
      <pivotArea type="data" outline="0" fieldPosition="0">
        <references count="2">
          <reference field="4294967294" count="1" selected="0">
            <x v="0"/>
          </reference>
          <reference field="0" count="1" selected="0">
            <x v="31"/>
          </reference>
        </references>
      </pivotArea>
    </chartFormat>
    <chartFormat chart="16" format="75">
      <pivotArea type="data" outline="0" fieldPosition="0">
        <references count="2">
          <reference field="4294967294" count="1" selected="0">
            <x v="0"/>
          </reference>
          <reference field="0" count="1" selected="0">
            <x v="1"/>
          </reference>
        </references>
      </pivotArea>
    </chartFormat>
    <chartFormat chart="16" format="76">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5A5BF7-190E-462B-B61B-51AA17698CB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8">
    <pivotField showAll="0">
      <items count="61">
        <item x="0"/>
        <item x="4"/>
        <item x="20"/>
        <item x="28"/>
        <item x="11"/>
        <item x="39"/>
        <item x="23"/>
        <item x="43"/>
        <item x="13"/>
        <item x="7"/>
        <item x="29"/>
        <item x="24"/>
        <item x="33"/>
        <item x="19"/>
        <item x="52"/>
        <item x="9"/>
        <item x="25"/>
        <item x="30"/>
        <item x="21"/>
        <item x="51"/>
        <item x="5"/>
        <item x="41"/>
        <item x="48"/>
        <item x="45"/>
        <item x="47"/>
        <item x="58"/>
        <item x="59"/>
        <item x="50"/>
        <item x="38"/>
        <item x="2"/>
        <item x="8"/>
        <item x="15"/>
        <item x="44"/>
        <item x="56"/>
        <item x="37"/>
        <item x="42"/>
        <item x="18"/>
        <item x="53"/>
        <item x="35"/>
        <item x="27"/>
        <item x="1"/>
        <item x="3"/>
        <item x="55"/>
        <item x="16"/>
        <item x="49"/>
        <item x="12"/>
        <item x="40"/>
        <item x="10"/>
        <item x="46"/>
        <item x="17"/>
        <item x="34"/>
        <item x="22"/>
        <item x="57"/>
        <item x="26"/>
        <item x="14"/>
        <item x="54"/>
        <item x="36"/>
        <item x="6"/>
        <item x="32"/>
        <item x="31"/>
        <item t="default"/>
      </items>
    </pivotField>
    <pivotField showAll="0"/>
    <pivotField axis="axisRow" showAll="0" measureFilter="1" sortType="ascending">
      <items count="49">
        <item x="31"/>
        <item x="46"/>
        <item x="27"/>
        <item x="47"/>
        <item x="30"/>
        <item x="13"/>
        <item x="18"/>
        <item x="1"/>
        <item x="40"/>
        <item x="32"/>
        <item x="14"/>
        <item x="33"/>
        <item x="10"/>
        <item x="45"/>
        <item x="23"/>
        <item x="22"/>
        <item x="41"/>
        <item x="15"/>
        <item x="35"/>
        <item x="44"/>
        <item x="37"/>
        <item x="39"/>
        <item x="2"/>
        <item x="21"/>
        <item x="26"/>
        <item x="43"/>
        <item x="38"/>
        <item x="6"/>
        <item x="17"/>
        <item x="36"/>
        <item x="25"/>
        <item x="34"/>
        <item x="28"/>
        <item x="5"/>
        <item x="8"/>
        <item x="42"/>
        <item x="11"/>
        <item x="7"/>
        <item x="16"/>
        <item x="0"/>
        <item x="19"/>
        <item x="12"/>
        <item x="20"/>
        <item x="24"/>
        <item x="9"/>
        <item x="4"/>
        <item x="29"/>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2"/>
  </rowFields>
  <rowItems count="11">
    <i>
      <x v="46"/>
    </i>
    <i>
      <x v="36"/>
    </i>
    <i>
      <x v="42"/>
    </i>
    <i>
      <x v="43"/>
    </i>
    <i>
      <x v="41"/>
    </i>
    <i>
      <x v="37"/>
    </i>
    <i>
      <x v="34"/>
    </i>
    <i>
      <x v="31"/>
    </i>
    <i>
      <x v="45"/>
    </i>
    <i>
      <x v="39"/>
    </i>
    <i t="grand">
      <x/>
    </i>
  </rowItems>
  <colItems count="1">
    <i/>
  </colItems>
  <dataFields count="1">
    <dataField name="Max of gestation_time" fld="3" subtotal="max" baseField="0" baseItem="0"/>
  </dataFields>
  <chartFormats count="22">
    <chartFormat chart="13" format="44" series="1">
      <pivotArea type="data" outline="0" fieldPosition="0">
        <references count="1">
          <reference field="4294967294" count="1" selected="0">
            <x v="0"/>
          </reference>
        </references>
      </pivotArea>
    </chartFormat>
    <chartFormat chart="13" format="45">
      <pivotArea type="data" outline="0" fieldPosition="0">
        <references count="2">
          <reference field="4294967294" count="1" selected="0">
            <x v="0"/>
          </reference>
          <reference field="2" count="1" selected="0">
            <x v="39"/>
          </reference>
        </references>
      </pivotArea>
    </chartFormat>
    <chartFormat chart="13" format="45">
      <pivotArea type="data" outline="0" fieldPosition="0">
        <references count="2">
          <reference field="4294967294" count="1" selected="0">
            <x v="0"/>
          </reference>
          <reference field="2" count="1" selected="0">
            <x v="46"/>
          </reference>
        </references>
      </pivotArea>
    </chartFormat>
    <chartFormat chart="13" format="46">
      <pivotArea type="data" outline="0" fieldPosition="0">
        <references count="2">
          <reference field="4294967294" count="1" selected="0">
            <x v="0"/>
          </reference>
          <reference field="2" count="1" selected="0">
            <x v="36"/>
          </reference>
        </references>
      </pivotArea>
    </chartFormat>
    <chartFormat chart="13" format="47">
      <pivotArea type="data" outline="0" fieldPosition="0">
        <references count="2">
          <reference field="4294967294" count="1" selected="0">
            <x v="0"/>
          </reference>
          <reference field="2" count="1" selected="0">
            <x v="42"/>
          </reference>
        </references>
      </pivotArea>
    </chartFormat>
    <chartFormat chart="13" format="48">
      <pivotArea type="data" outline="0" fieldPosition="0">
        <references count="2">
          <reference field="4294967294" count="1" selected="0">
            <x v="0"/>
          </reference>
          <reference field="2" count="1" selected="0">
            <x v="43"/>
          </reference>
        </references>
      </pivotArea>
    </chartFormat>
    <chartFormat chart="13" format="49">
      <pivotArea type="data" outline="0" fieldPosition="0">
        <references count="2">
          <reference field="4294967294" count="1" selected="0">
            <x v="0"/>
          </reference>
          <reference field="2" count="1" selected="0">
            <x v="41"/>
          </reference>
        </references>
      </pivotArea>
    </chartFormat>
    <chartFormat chart="13" format="50">
      <pivotArea type="data" outline="0" fieldPosition="0">
        <references count="2">
          <reference field="4294967294" count="1" selected="0">
            <x v="0"/>
          </reference>
          <reference field="2" count="1" selected="0">
            <x v="37"/>
          </reference>
        </references>
      </pivotArea>
    </chartFormat>
    <chartFormat chart="13" format="51">
      <pivotArea type="data" outline="0" fieldPosition="0">
        <references count="2">
          <reference field="4294967294" count="1" selected="0">
            <x v="0"/>
          </reference>
          <reference field="2" count="1" selected="0">
            <x v="34"/>
          </reference>
        </references>
      </pivotArea>
    </chartFormat>
    <chartFormat chart="13" format="52">
      <pivotArea type="data" outline="0" fieldPosition="0">
        <references count="2">
          <reference field="4294967294" count="1" selected="0">
            <x v="0"/>
          </reference>
          <reference field="2" count="1" selected="0">
            <x v="31"/>
          </reference>
        </references>
      </pivotArea>
    </chartFormat>
    <chartFormat chart="13" format="53">
      <pivotArea type="data" outline="0" fieldPosition="0">
        <references count="2">
          <reference field="4294967294" count="1" selected="0">
            <x v="0"/>
          </reference>
          <reference field="2" count="1" selected="0">
            <x v="45"/>
          </reference>
        </references>
      </pivotArea>
    </chartFormat>
    <chartFormat chart="17" format="87" series="1">
      <pivotArea type="data" outline="0" fieldPosition="0">
        <references count="1">
          <reference field="4294967294" count="1" selected="0">
            <x v="0"/>
          </reference>
        </references>
      </pivotArea>
    </chartFormat>
    <chartFormat chart="17" format="88">
      <pivotArea type="data" outline="0" fieldPosition="0">
        <references count="2">
          <reference field="4294967294" count="1" selected="0">
            <x v="0"/>
          </reference>
          <reference field="2" count="1" selected="0">
            <x v="46"/>
          </reference>
        </references>
      </pivotArea>
    </chartFormat>
    <chartFormat chart="17" format="89">
      <pivotArea type="data" outline="0" fieldPosition="0">
        <references count="2">
          <reference field="4294967294" count="1" selected="0">
            <x v="0"/>
          </reference>
          <reference field="2" count="1" selected="0">
            <x v="36"/>
          </reference>
        </references>
      </pivotArea>
    </chartFormat>
    <chartFormat chart="17" format="90">
      <pivotArea type="data" outline="0" fieldPosition="0">
        <references count="2">
          <reference field="4294967294" count="1" selected="0">
            <x v="0"/>
          </reference>
          <reference field="2" count="1" selected="0">
            <x v="42"/>
          </reference>
        </references>
      </pivotArea>
    </chartFormat>
    <chartFormat chart="17" format="91">
      <pivotArea type="data" outline="0" fieldPosition="0">
        <references count="2">
          <reference field="4294967294" count="1" selected="0">
            <x v="0"/>
          </reference>
          <reference field="2" count="1" selected="0">
            <x v="43"/>
          </reference>
        </references>
      </pivotArea>
    </chartFormat>
    <chartFormat chart="17" format="92">
      <pivotArea type="data" outline="0" fieldPosition="0">
        <references count="2">
          <reference field="4294967294" count="1" selected="0">
            <x v="0"/>
          </reference>
          <reference field="2" count="1" selected="0">
            <x v="41"/>
          </reference>
        </references>
      </pivotArea>
    </chartFormat>
    <chartFormat chart="17" format="93">
      <pivotArea type="data" outline="0" fieldPosition="0">
        <references count="2">
          <reference field="4294967294" count="1" selected="0">
            <x v="0"/>
          </reference>
          <reference field="2" count="1" selected="0">
            <x v="37"/>
          </reference>
        </references>
      </pivotArea>
    </chartFormat>
    <chartFormat chart="17" format="94">
      <pivotArea type="data" outline="0" fieldPosition="0">
        <references count="2">
          <reference field="4294967294" count="1" selected="0">
            <x v="0"/>
          </reference>
          <reference field="2" count="1" selected="0">
            <x v="34"/>
          </reference>
        </references>
      </pivotArea>
    </chartFormat>
    <chartFormat chart="17" format="95">
      <pivotArea type="data" outline="0" fieldPosition="0">
        <references count="2">
          <reference field="4294967294" count="1" selected="0">
            <x v="0"/>
          </reference>
          <reference field="2" count="1" selected="0">
            <x v="31"/>
          </reference>
        </references>
      </pivotArea>
    </chartFormat>
    <chartFormat chart="17" format="96">
      <pivotArea type="data" outline="0" fieldPosition="0">
        <references count="2">
          <reference field="4294967294" count="1" selected="0">
            <x v="0"/>
          </reference>
          <reference field="2" count="1" selected="0">
            <x v="45"/>
          </reference>
        </references>
      </pivotArea>
    </chartFormat>
    <chartFormat chart="17" format="97">
      <pivotArea type="data" outline="0" fieldPosition="0">
        <references count="2">
          <reference field="4294967294" count="1" selected="0">
            <x v="0"/>
          </reference>
          <reference field="2" count="1" selected="0">
            <x v="39"/>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6A10D2-F2D6-4074-82D3-7814DC600A9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8">
    <pivotField showAll="0">
      <items count="61">
        <item x="0"/>
        <item x="4"/>
        <item x="20"/>
        <item x="28"/>
        <item x="11"/>
        <item x="39"/>
        <item x="23"/>
        <item x="43"/>
        <item x="13"/>
        <item x="7"/>
        <item x="29"/>
        <item x="24"/>
        <item x="33"/>
        <item x="19"/>
        <item x="52"/>
        <item x="9"/>
        <item x="25"/>
        <item x="30"/>
        <item x="21"/>
        <item x="51"/>
        <item x="5"/>
        <item x="41"/>
        <item x="48"/>
        <item x="45"/>
        <item x="47"/>
        <item x="58"/>
        <item x="59"/>
        <item x="50"/>
        <item x="38"/>
        <item x="2"/>
        <item x="8"/>
        <item x="15"/>
        <item x="44"/>
        <item x="56"/>
        <item x="37"/>
        <item x="42"/>
        <item x="18"/>
        <item x="53"/>
        <item x="35"/>
        <item x="27"/>
        <item x="1"/>
        <item x="3"/>
        <item x="55"/>
        <item x="16"/>
        <item x="49"/>
        <item x="12"/>
        <item x="40"/>
        <item x="10"/>
        <item x="46"/>
        <item x="17"/>
        <item x="34"/>
        <item x="22"/>
        <item x="57"/>
        <item x="26"/>
        <item x="14"/>
        <item x="54"/>
        <item x="36"/>
        <item x="6"/>
        <item x="32"/>
        <item x="31"/>
        <item t="default"/>
      </items>
    </pivotField>
    <pivotField showAll="0"/>
    <pivotField showAll="0">
      <items count="49">
        <item x="31"/>
        <item x="46"/>
        <item x="27"/>
        <item x="47"/>
        <item x="30"/>
        <item x="13"/>
        <item x="18"/>
        <item x="1"/>
        <item x="40"/>
        <item x="32"/>
        <item x="14"/>
        <item x="33"/>
        <item x="10"/>
        <item x="45"/>
        <item x="23"/>
        <item x="22"/>
        <item x="41"/>
        <item x="15"/>
        <item x="35"/>
        <item x="44"/>
        <item x="37"/>
        <item x="39"/>
        <item x="2"/>
        <item x="21"/>
        <item x="26"/>
        <item x="43"/>
        <item x="38"/>
        <item x="6"/>
        <item x="17"/>
        <item x="36"/>
        <item x="25"/>
        <item x="34"/>
        <item x="28"/>
        <item x="5"/>
        <item x="8"/>
        <item x="42"/>
        <item x="11"/>
        <item x="7"/>
        <item x="16"/>
        <item x="0"/>
        <item x="19"/>
        <item x="12"/>
        <item x="20"/>
        <item x="24"/>
        <item x="9"/>
        <item x="4"/>
        <item x="29"/>
        <item x="3"/>
        <item t="default"/>
      </items>
    </pivotField>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items count="6">
        <item x="1"/>
        <item x="4"/>
        <item x="0"/>
        <item x="2"/>
        <item x="3"/>
        <item t="default"/>
      </items>
    </pivotField>
    <pivotField dataField="1" showAll="0"/>
  </pivotFields>
  <rowFields count="1">
    <field x="4"/>
  </rowFields>
  <rowItems count="6">
    <i>
      <x v="1"/>
    </i>
    <i>
      <x/>
    </i>
    <i>
      <x v="2"/>
    </i>
    <i>
      <x v="4"/>
    </i>
    <i>
      <x v="3"/>
    </i>
    <i t="grand">
      <x/>
    </i>
  </rowItems>
  <colItems count="1">
    <i/>
  </colItems>
  <dataFields count="1">
    <dataField name="Sum of total_sleep" fld="7" baseField="0" baseItem="0"/>
  </dataFields>
  <chartFormats count="18">
    <chartFormat chart="14" format="46" series="1">
      <pivotArea type="data" outline="0" fieldPosition="0">
        <references count="1">
          <reference field="4294967294" count="1" selected="0">
            <x v="0"/>
          </reference>
        </references>
      </pivotArea>
    </chartFormat>
    <chartFormat chart="14" format="47">
      <pivotArea type="data" outline="0" fieldPosition="0">
        <references count="2">
          <reference field="4294967294" count="1" selected="0">
            <x v="0"/>
          </reference>
          <reference field="4" count="1" selected="0">
            <x v="1"/>
          </reference>
        </references>
      </pivotArea>
    </chartFormat>
    <chartFormat chart="14" format="48">
      <pivotArea type="data" outline="0" fieldPosition="0">
        <references count="2">
          <reference field="4294967294" count="1" selected="0">
            <x v="0"/>
          </reference>
          <reference field="4" count="1" selected="0">
            <x v="0"/>
          </reference>
        </references>
      </pivotArea>
    </chartFormat>
    <chartFormat chart="14" format="49">
      <pivotArea type="data" outline="0" fieldPosition="0">
        <references count="2">
          <reference field="4294967294" count="1" selected="0">
            <x v="0"/>
          </reference>
          <reference field="4" count="1" selected="0">
            <x v="2"/>
          </reference>
        </references>
      </pivotArea>
    </chartFormat>
    <chartFormat chart="14" format="50">
      <pivotArea type="data" outline="0" fieldPosition="0">
        <references count="2">
          <reference field="4294967294" count="1" selected="0">
            <x v="0"/>
          </reference>
          <reference field="4" count="1" selected="0">
            <x v="4"/>
          </reference>
        </references>
      </pivotArea>
    </chartFormat>
    <chartFormat chart="14" format="51">
      <pivotArea type="data" outline="0" fieldPosition="0">
        <references count="2">
          <reference field="4294967294" count="1" selected="0">
            <x v="0"/>
          </reference>
          <reference field="4" count="1" selected="0">
            <x v="3"/>
          </reference>
        </references>
      </pivotArea>
    </chartFormat>
    <chartFormat chart="20" format="52" series="1">
      <pivotArea type="data" outline="0" fieldPosition="0">
        <references count="1">
          <reference field="4294967294" count="1" selected="0">
            <x v="0"/>
          </reference>
        </references>
      </pivotArea>
    </chartFormat>
    <chartFormat chart="20" format="53">
      <pivotArea type="data" outline="0" fieldPosition="0">
        <references count="2">
          <reference field="4294967294" count="1" selected="0">
            <x v="0"/>
          </reference>
          <reference field="4" count="1" selected="0">
            <x v="1"/>
          </reference>
        </references>
      </pivotArea>
    </chartFormat>
    <chartFormat chart="20" format="54">
      <pivotArea type="data" outline="0" fieldPosition="0">
        <references count="2">
          <reference field="4294967294" count="1" selected="0">
            <x v="0"/>
          </reference>
          <reference field="4" count="1" selected="0">
            <x v="0"/>
          </reference>
        </references>
      </pivotArea>
    </chartFormat>
    <chartFormat chart="20" format="55">
      <pivotArea type="data" outline="0" fieldPosition="0">
        <references count="2">
          <reference field="4294967294" count="1" selected="0">
            <x v="0"/>
          </reference>
          <reference field="4" count="1" selected="0">
            <x v="2"/>
          </reference>
        </references>
      </pivotArea>
    </chartFormat>
    <chartFormat chart="20" format="56">
      <pivotArea type="data" outline="0" fieldPosition="0">
        <references count="2">
          <reference field="4294967294" count="1" selected="0">
            <x v="0"/>
          </reference>
          <reference field="4" count="1" selected="0">
            <x v="4"/>
          </reference>
        </references>
      </pivotArea>
    </chartFormat>
    <chartFormat chart="20" format="57">
      <pivotArea type="data" outline="0" fieldPosition="0">
        <references count="2">
          <reference field="4294967294" count="1" selected="0">
            <x v="0"/>
          </reference>
          <reference field="4" count="1" selected="0">
            <x v="3"/>
          </reference>
        </references>
      </pivotArea>
    </chartFormat>
    <chartFormat chart="25" format="70" series="1">
      <pivotArea type="data" outline="0" fieldPosition="0">
        <references count="1">
          <reference field="4294967294" count="1" selected="0">
            <x v="0"/>
          </reference>
        </references>
      </pivotArea>
    </chartFormat>
    <chartFormat chart="25" format="71">
      <pivotArea type="data" outline="0" fieldPosition="0">
        <references count="2">
          <reference field="4294967294" count="1" selected="0">
            <x v="0"/>
          </reference>
          <reference field="4" count="1" selected="0">
            <x v="1"/>
          </reference>
        </references>
      </pivotArea>
    </chartFormat>
    <chartFormat chart="25" format="72">
      <pivotArea type="data" outline="0" fieldPosition="0">
        <references count="2">
          <reference field="4294967294" count="1" selected="0">
            <x v="0"/>
          </reference>
          <reference field="4" count="1" selected="0">
            <x v="0"/>
          </reference>
        </references>
      </pivotArea>
    </chartFormat>
    <chartFormat chart="25" format="73">
      <pivotArea type="data" outline="0" fieldPosition="0">
        <references count="2">
          <reference field="4294967294" count="1" selected="0">
            <x v="0"/>
          </reference>
          <reference field="4" count="1" selected="0">
            <x v="2"/>
          </reference>
        </references>
      </pivotArea>
    </chartFormat>
    <chartFormat chart="25" format="74">
      <pivotArea type="data" outline="0" fieldPosition="0">
        <references count="2">
          <reference field="4294967294" count="1" selected="0">
            <x v="0"/>
          </reference>
          <reference field="4" count="1" selected="0">
            <x v="4"/>
          </reference>
        </references>
      </pivotArea>
    </chartFormat>
    <chartFormat chart="25" format="7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A25B20-CDF1-41CB-A743-2D1BEDF46B3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8">
    <pivotField showAll="0">
      <items count="61">
        <item x="0"/>
        <item x="4"/>
        <item x="20"/>
        <item x="28"/>
        <item x="11"/>
        <item x="39"/>
        <item x="23"/>
        <item x="43"/>
        <item x="13"/>
        <item x="7"/>
        <item x="29"/>
        <item x="24"/>
        <item x="33"/>
        <item x="19"/>
        <item x="52"/>
        <item x="9"/>
        <item x="25"/>
        <item x="30"/>
        <item x="21"/>
        <item x="51"/>
        <item x="5"/>
        <item x="41"/>
        <item x="48"/>
        <item x="45"/>
        <item x="47"/>
        <item x="58"/>
        <item x="59"/>
        <item x="50"/>
        <item x="38"/>
        <item x="2"/>
        <item x="8"/>
        <item x="15"/>
        <item x="44"/>
        <item x="56"/>
        <item x="37"/>
        <item x="42"/>
        <item x="18"/>
        <item x="53"/>
        <item x="35"/>
        <item x="27"/>
        <item x="1"/>
        <item x="3"/>
        <item x="55"/>
        <item x="16"/>
        <item x="49"/>
        <item x="12"/>
        <item x="40"/>
        <item x="10"/>
        <item x="46"/>
        <item x="17"/>
        <item x="34"/>
        <item x="22"/>
        <item x="57"/>
        <item x="26"/>
        <item x="14"/>
        <item x="54"/>
        <item x="36"/>
        <item x="6"/>
        <item x="32"/>
        <item x="31"/>
        <item t="default"/>
      </items>
    </pivotField>
    <pivotField showAll="0"/>
    <pivotField showAll="0">
      <items count="49">
        <item x="31"/>
        <item x="46"/>
        <item x="27"/>
        <item x="47"/>
        <item x="30"/>
        <item x="13"/>
        <item x="18"/>
        <item x="1"/>
        <item x="40"/>
        <item x="32"/>
        <item x="14"/>
        <item x="33"/>
        <item x="10"/>
        <item x="45"/>
        <item x="23"/>
        <item x="22"/>
        <item x="41"/>
        <item x="15"/>
        <item x="35"/>
        <item x="44"/>
        <item x="37"/>
        <item x="39"/>
        <item x="2"/>
        <item x="21"/>
        <item x="26"/>
        <item x="43"/>
        <item x="38"/>
        <item x="6"/>
        <item x="17"/>
        <item x="36"/>
        <item x="25"/>
        <item x="34"/>
        <item x="28"/>
        <item x="5"/>
        <item x="8"/>
        <item x="42"/>
        <item x="11"/>
        <item x="7"/>
        <item x="16"/>
        <item x="0"/>
        <item x="19"/>
        <item x="12"/>
        <item x="20"/>
        <item x="24"/>
        <item x="9"/>
        <item x="4"/>
        <item x="29"/>
        <item x="3"/>
        <item t="default"/>
      </items>
    </pivotField>
    <pivotField showAll="0"/>
    <pivotField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axis="axisRow" showAll="0">
      <items count="6">
        <item x="1"/>
        <item x="4"/>
        <item x="0"/>
        <item x="2"/>
        <item x="3"/>
        <item t="default"/>
      </items>
    </pivotField>
    <pivotField dataField="1" showAll="0"/>
  </pivotFields>
  <rowFields count="1">
    <field x="6"/>
  </rowFields>
  <rowItems count="6">
    <i>
      <x/>
    </i>
    <i>
      <x v="1"/>
    </i>
    <i>
      <x v="2"/>
    </i>
    <i>
      <x v="3"/>
    </i>
    <i>
      <x v="4"/>
    </i>
    <i t="grand">
      <x/>
    </i>
  </rowItems>
  <colItems count="1">
    <i/>
  </colItems>
  <dataFields count="1">
    <dataField name="Sum of total_sleep" fld="7" baseField="0" baseItem="0"/>
  </dataFields>
  <chartFormats count="12">
    <chartFormat chart="14" format="46" series="1">
      <pivotArea type="data" outline="0" fieldPosition="0">
        <references count="1">
          <reference field="4294967294" count="1" selected="0">
            <x v="0"/>
          </reference>
        </references>
      </pivotArea>
    </chartFormat>
    <chartFormat chart="20" format="52" series="1">
      <pivotArea type="data" outline="0" fieldPosition="0">
        <references count="1">
          <reference field="4294967294" count="1" selected="0">
            <x v="0"/>
          </reference>
        </references>
      </pivotArea>
    </chartFormat>
    <chartFormat chart="20" format="58">
      <pivotArea type="data" outline="0" fieldPosition="0">
        <references count="2">
          <reference field="4294967294" count="1" selected="0">
            <x v="0"/>
          </reference>
          <reference field="6" count="1" selected="0">
            <x v="0"/>
          </reference>
        </references>
      </pivotArea>
    </chartFormat>
    <chartFormat chart="20" format="59">
      <pivotArea type="data" outline="0" fieldPosition="0">
        <references count="2">
          <reference field="4294967294" count="1" selected="0">
            <x v="0"/>
          </reference>
          <reference field="6" count="1" selected="0">
            <x v="1"/>
          </reference>
        </references>
      </pivotArea>
    </chartFormat>
    <chartFormat chart="20" format="60">
      <pivotArea type="data" outline="0" fieldPosition="0">
        <references count="2">
          <reference field="4294967294" count="1" selected="0">
            <x v="0"/>
          </reference>
          <reference field="6" count="1" selected="0">
            <x v="2"/>
          </reference>
        </references>
      </pivotArea>
    </chartFormat>
    <chartFormat chart="20" format="61">
      <pivotArea type="data" outline="0" fieldPosition="0">
        <references count="2">
          <reference field="4294967294" count="1" selected="0">
            <x v="0"/>
          </reference>
          <reference field="6" count="1" selected="0">
            <x v="3"/>
          </reference>
        </references>
      </pivotArea>
    </chartFormat>
    <chartFormat chart="20" format="62">
      <pivotArea type="data" outline="0" fieldPosition="0">
        <references count="2">
          <reference field="4294967294" count="1" selected="0">
            <x v="0"/>
          </reference>
          <reference field="6" count="1" selected="0">
            <x v="4"/>
          </reference>
        </references>
      </pivotArea>
    </chartFormat>
    <chartFormat chart="33" format="78" series="1">
      <pivotArea type="data" outline="0" fieldPosition="0">
        <references count="1">
          <reference field="4294967294" count="1" selected="0">
            <x v="0"/>
          </reference>
        </references>
      </pivotArea>
    </chartFormat>
    <chartFormat chart="33" format="79">
      <pivotArea type="data" outline="0" fieldPosition="0">
        <references count="2">
          <reference field="4294967294" count="1" selected="0">
            <x v="0"/>
          </reference>
          <reference field="6" count="1" selected="0">
            <x v="1"/>
          </reference>
        </references>
      </pivotArea>
    </chartFormat>
    <chartFormat chart="33" format="80">
      <pivotArea type="data" outline="0" fieldPosition="0">
        <references count="2">
          <reference field="4294967294" count="1" selected="0">
            <x v="0"/>
          </reference>
          <reference field="6" count="1" selected="0">
            <x v="2"/>
          </reference>
        </references>
      </pivotArea>
    </chartFormat>
    <chartFormat chart="33" format="81">
      <pivotArea type="data" outline="0" fieldPosition="0">
        <references count="2">
          <reference field="4294967294" count="1" selected="0">
            <x v="0"/>
          </reference>
          <reference field="6" count="1" selected="0">
            <x v="3"/>
          </reference>
        </references>
      </pivotArea>
    </chartFormat>
    <chartFormat chart="33" format="8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7EA3D2-EBA6-4A7A-8272-CE39471F0AD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9" firstHeaderRow="1" firstDataRow="1" firstDataCol="1"/>
  <pivotFields count="8">
    <pivotField showAll="0">
      <items count="61">
        <item x="0"/>
        <item x="4"/>
        <item x="20"/>
        <item x="28"/>
        <item x="11"/>
        <item x="39"/>
        <item x="23"/>
        <item x="43"/>
        <item x="13"/>
        <item x="7"/>
        <item x="29"/>
        <item x="24"/>
        <item x="33"/>
        <item x="19"/>
        <item x="52"/>
        <item x="9"/>
        <item x="25"/>
        <item x="30"/>
        <item x="21"/>
        <item x="51"/>
        <item x="5"/>
        <item x="41"/>
        <item x="48"/>
        <item x="45"/>
        <item x="47"/>
        <item x="58"/>
        <item x="59"/>
        <item x="50"/>
        <item x="38"/>
        <item x="2"/>
        <item x="8"/>
        <item x="15"/>
        <item x="44"/>
        <item x="56"/>
        <item x="37"/>
        <item x="42"/>
        <item x="18"/>
        <item x="53"/>
        <item x="35"/>
        <item x="27"/>
        <item x="1"/>
        <item x="3"/>
        <item x="55"/>
        <item x="16"/>
        <item x="49"/>
        <item x="12"/>
        <item x="40"/>
        <item x="10"/>
        <item x="46"/>
        <item x="17"/>
        <item x="34"/>
        <item x="22"/>
        <item x="57"/>
        <item x="26"/>
        <item x="14"/>
        <item x="54"/>
        <item x="36"/>
        <item x="6"/>
        <item x="32"/>
        <item x="31"/>
        <item t="default"/>
      </items>
    </pivotField>
    <pivotField showAll="0"/>
    <pivotField showAll="0">
      <items count="49">
        <item x="31"/>
        <item x="46"/>
        <item x="27"/>
        <item x="47"/>
        <item x="30"/>
        <item x="13"/>
        <item x="18"/>
        <item x="1"/>
        <item x="40"/>
        <item x="32"/>
        <item x="14"/>
        <item x="33"/>
        <item x="10"/>
        <item x="45"/>
        <item x="23"/>
        <item x="22"/>
        <item x="41"/>
        <item x="15"/>
        <item x="35"/>
        <item x="44"/>
        <item x="37"/>
        <item x="39"/>
        <item x="2"/>
        <item x="21"/>
        <item x="26"/>
        <item x="43"/>
        <item x="38"/>
        <item x="6"/>
        <item x="17"/>
        <item x="36"/>
        <item x="25"/>
        <item x="34"/>
        <item x="28"/>
        <item x="5"/>
        <item x="8"/>
        <item x="42"/>
        <item x="11"/>
        <item x="7"/>
        <item x="16"/>
        <item x="0"/>
        <item x="19"/>
        <item x="12"/>
        <item x="20"/>
        <item x="24"/>
        <item x="9"/>
        <item x="4"/>
        <item x="29"/>
        <item x="3"/>
        <item t="default"/>
      </items>
    </pivotField>
    <pivotField showAll="0"/>
    <pivotField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items count="6">
        <item x="1"/>
        <item x="4"/>
        <item x="0"/>
        <item x="2"/>
        <item x="3"/>
        <item t="default"/>
      </items>
    </pivotField>
    <pivotField dataField="1" showAll="0"/>
  </pivotFields>
  <rowFields count="1">
    <field x="5"/>
  </rowFields>
  <rowItems count="6">
    <i>
      <x/>
    </i>
    <i>
      <x v="1"/>
    </i>
    <i>
      <x v="3"/>
    </i>
    <i>
      <x v="4"/>
    </i>
    <i>
      <x v="2"/>
    </i>
    <i t="grand">
      <x/>
    </i>
  </rowItems>
  <colItems count="1">
    <i/>
  </colItems>
  <dataFields count="1">
    <dataField name="Sum of total_sleep" fld="7" baseField="0" baseItem="0"/>
  </dataFields>
  <chartFormats count="13">
    <chartFormat chart="14" format="46" series="1">
      <pivotArea type="data" outline="0" fieldPosition="0">
        <references count="1">
          <reference field="4294967294" count="1" selected="0">
            <x v="0"/>
          </reference>
        </references>
      </pivotArea>
    </chartFormat>
    <chartFormat chart="20" format="52" series="1">
      <pivotArea type="data" outline="0" fieldPosition="0">
        <references count="1">
          <reference field="4294967294" count="1" selected="0">
            <x v="0"/>
          </reference>
        </references>
      </pivotArea>
    </chartFormat>
    <chartFormat chart="25" format="63" series="1">
      <pivotArea type="data" outline="0" fieldPosition="0">
        <references count="1">
          <reference field="4294967294" count="1" selected="0">
            <x v="0"/>
          </reference>
        </references>
      </pivotArea>
    </chartFormat>
    <chartFormat chart="25" format="69">
      <pivotArea type="data" outline="0" fieldPosition="0">
        <references count="2">
          <reference field="4294967294" count="1" selected="0">
            <x v="0"/>
          </reference>
          <reference field="5" count="1" selected="0">
            <x v="0"/>
          </reference>
        </references>
      </pivotArea>
    </chartFormat>
    <chartFormat chart="25" format="70">
      <pivotArea type="data" outline="0" fieldPosition="0">
        <references count="2">
          <reference field="4294967294" count="1" selected="0">
            <x v="0"/>
          </reference>
          <reference field="5" count="1" selected="0">
            <x v="1"/>
          </reference>
        </references>
      </pivotArea>
    </chartFormat>
    <chartFormat chart="25" format="71">
      <pivotArea type="data" outline="0" fieldPosition="0">
        <references count="2">
          <reference field="4294967294" count="1" selected="0">
            <x v="0"/>
          </reference>
          <reference field="5" count="1" selected="0">
            <x v="3"/>
          </reference>
        </references>
      </pivotArea>
    </chartFormat>
    <chartFormat chart="25" format="72">
      <pivotArea type="data" outline="0" fieldPosition="0">
        <references count="2">
          <reference field="4294967294" count="1" selected="0">
            <x v="0"/>
          </reference>
          <reference field="5" count="1" selected="0">
            <x v="4"/>
          </reference>
        </references>
      </pivotArea>
    </chartFormat>
    <chartFormat chart="25" format="73">
      <pivotArea type="data" outline="0" fieldPosition="0">
        <references count="2">
          <reference field="4294967294" count="1" selected="0">
            <x v="0"/>
          </reference>
          <reference field="5" count="1" selected="0">
            <x v="2"/>
          </reference>
        </references>
      </pivotArea>
    </chartFormat>
    <chartFormat chart="34" format="89" series="1">
      <pivotArea type="data" outline="0" fieldPosition="0">
        <references count="1">
          <reference field="4294967294" count="1" selected="0">
            <x v="0"/>
          </reference>
        </references>
      </pivotArea>
    </chartFormat>
    <chartFormat chart="34" format="90">
      <pivotArea type="data" outline="0" fieldPosition="0">
        <references count="2">
          <reference field="4294967294" count="1" selected="0">
            <x v="0"/>
          </reference>
          <reference field="5" count="1" selected="0">
            <x v="1"/>
          </reference>
        </references>
      </pivotArea>
    </chartFormat>
    <chartFormat chart="34" format="91">
      <pivotArea type="data" outline="0" fieldPosition="0">
        <references count="2">
          <reference field="4294967294" count="1" selected="0">
            <x v="0"/>
          </reference>
          <reference field="5" count="1" selected="0">
            <x v="3"/>
          </reference>
        </references>
      </pivotArea>
    </chartFormat>
    <chartFormat chart="34" format="92">
      <pivotArea type="data" outline="0" fieldPosition="0">
        <references count="2">
          <reference field="4294967294" count="1" selected="0">
            <x v="0"/>
          </reference>
          <reference field="5" count="1" selected="0">
            <x v="4"/>
          </reference>
        </references>
      </pivotArea>
    </chartFormat>
    <chartFormat chart="34" format="9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dation_index" xr10:uid="{E1FC67A9-C970-418B-87AD-36FFF2BA1847}" sourceName="predation_index">
  <pivotTables>
    <pivotTable tabId="3" name="PivotTable1"/>
  </pivotTables>
  <data>
    <tabular pivotCacheId="789164941">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exposure_index" xr10:uid="{A94D28CF-F145-4B83-92DE-A7B783F2AA48}" sourceName="sleep_exposure_index">
  <pivotTables>
    <pivotTable tabId="3" name="PivotTable1"/>
  </pivotTables>
  <data>
    <tabular pivotCacheId="789164941">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ger_index" xr10:uid="{9995B047-9B01-4797-A00F-3684DBB049CD}" sourceName="danger_index">
  <pivotTables>
    <pivotTable tabId="3" name="PivotTable1"/>
  </pivotTables>
  <data>
    <tabular pivotCacheId="789164941">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dation_index 1" xr10:uid="{3F77281F-37B4-42BB-B443-DC957C12EC69}" cache="Slicer_predation_index" caption="predation_index" style="SlicerStyleDark6 2" rowHeight="260350"/>
  <slicer name="sleep_exposure_index 1" xr10:uid="{1D216C7B-31BB-4641-BFE2-0EF1A49834DD}" cache="Slicer_sleep_exposure_index" caption="sleep_exposure_index" style="SlicerStyleDark6 2" rowHeight="260350"/>
  <slicer name="danger_index 1" xr10:uid="{7D6E4010-7C8F-4FB6-8021-C7120126D8D3}" cache="Slicer_danger_index" caption="danger_index" style="SlicerStyleDark6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266BDC-2CF6-4A8F-98BF-0BF1E3F73707}" name="Table1" displayName="Table1" ref="A1:H63" totalsRowShown="0">
  <autoFilter ref="A1:H63" xr:uid="{B7266BDC-2CF6-4A8F-98BF-0BF1E3F73707}"/>
  <tableColumns count="8">
    <tableColumn id="1" xr3:uid="{89FBD531-7F80-4B59-B752-AA00F43A7E91}" name="body_weight"/>
    <tableColumn id="2" xr3:uid="{8327F885-DFF7-4F9C-B61B-4AC543775262}" name="brain_weight"/>
    <tableColumn id="3" xr3:uid="{43D7BA25-02C1-4BC2-BF0E-37188D12C51C}" name="max_life_span"/>
    <tableColumn id="4" xr3:uid="{E9CB594E-05BB-4BA4-80E0-2EC7F4E78584}" name="gestation_time"/>
    <tableColumn id="5" xr3:uid="{62DEA05A-B641-4790-A205-71C26AC6828A}" name="predation_index"/>
    <tableColumn id="6" xr3:uid="{231B4464-FD5D-487B-9FD1-CEAC8F40ED51}" name="sleep_exposure_index"/>
    <tableColumn id="7" xr3:uid="{3653963D-0E0B-4DE4-9857-63148A75E5B9}" name="danger_index"/>
    <tableColumn id="8" xr3:uid="{8C6C3BCF-515C-481B-B944-A27EFE8A15B0}" name="total_sle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05D09-5BB8-4FE1-902A-CDF0C11BF4B3}">
  <dimension ref="A1"/>
  <sheetViews>
    <sheetView showGridLines="0" tabSelected="1" zoomScale="48" zoomScaleNormal="48" workbookViewId="0">
      <selection activeCell="U10" sqref="U10"/>
    </sheetView>
  </sheetViews>
  <sheetFormatPr defaultRowHeight="15.6" x14ac:dyDescent="0.3"/>
  <cols>
    <col min="1"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5601-B7EE-479A-8448-C3E89A901A9F}">
  <dimension ref="A1"/>
  <sheetViews>
    <sheetView showGridLines="0" workbookViewId="0">
      <selection activeCell="U15" sqref="U15"/>
    </sheetView>
  </sheetViews>
  <sheetFormatPr defaultRowHeight="15.6"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E4FA-1573-4A30-8C6C-8F9485D8623A}">
  <dimension ref="A1"/>
  <sheetViews>
    <sheetView showGridLines="0" workbookViewId="0">
      <selection activeCell="K31" sqref="K31"/>
    </sheetView>
  </sheetViews>
  <sheetFormatPr defaultRowHeight="15.6"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14E8-5D83-445E-935E-B7DACF052F9C}">
  <dimension ref="A1"/>
  <sheetViews>
    <sheetView showGridLines="0" topLeftCell="M1" workbookViewId="0">
      <selection activeCell="K41" sqref="K41"/>
    </sheetView>
  </sheetViews>
  <sheetFormatPr defaultRowHeight="15.6"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4DC2C-BAE7-428E-90D1-E4D6BFF5A7A1}">
  <dimension ref="A3:B14"/>
  <sheetViews>
    <sheetView topLeftCell="A2" workbookViewId="0">
      <selection activeCell="B6" sqref="B6"/>
    </sheetView>
  </sheetViews>
  <sheetFormatPr defaultRowHeight="15.6" x14ac:dyDescent="0.3"/>
  <cols>
    <col min="1" max="1" width="12.296875" bestFit="1" customWidth="1"/>
    <col min="2" max="2" width="18.5" bestFit="1" customWidth="1"/>
  </cols>
  <sheetData>
    <row r="3" spans="1:2" x14ac:dyDescent="0.3">
      <c r="A3" s="1" t="s">
        <v>9</v>
      </c>
      <c r="B3" t="s">
        <v>11</v>
      </c>
    </row>
    <row r="4" spans="1:2" x14ac:dyDescent="0.3">
      <c r="A4" s="2">
        <v>207</v>
      </c>
      <c r="B4">
        <v>406</v>
      </c>
    </row>
    <row r="5" spans="1:2" x14ac:dyDescent="0.3">
      <c r="A5" s="2">
        <v>187.1</v>
      </c>
      <c r="B5">
        <v>419</v>
      </c>
    </row>
    <row r="6" spans="1:2" x14ac:dyDescent="0.3">
      <c r="A6" s="2">
        <v>465</v>
      </c>
      <c r="B6">
        <v>423</v>
      </c>
    </row>
    <row r="7" spans="1:2" x14ac:dyDescent="0.3">
      <c r="A7" s="2">
        <v>52.16</v>
      </c>
      <c r="B7">
        <v>440</v>
      </c>
    </row>
    <row r="8" spans="1:2" x14ac:dyDescent="0.3">
      <c r="A8" s="2">
        <v>250</v>
      </c>
      <c r="B8">
        <v>490</v>
      </c>
    </row>
    <row r="9" spans="1:2" x14ac:dyDescent="0.3">
      <c r="A9" s="2">
        <v>521</v>
      </c>
      <c r="B9">
        <v>655</v>
      </c>
    </row>
    <row r="10" spans="1:2" x14ac:dyDescent="0.3">
      <c r="A10" s="2">
        <v>529</v>
      </c>
      <c r="B10">
        <v>680</v>
      </c>
    </row>
    <row r="11" spans="1:2" x14ac:dyDescent="0.3">
      <c r="A11" s="2">
        <v>62</v>
      </c>
      <c r="B11">
        <v>1320</v>
      </c>
    </row>
    <row r="12" spans="1:2" x14ac:dyDescent="0.3">
      <c r="A12" s="2">
        <v>2547</v>
      </c>
      <c r="B12">
        <v>4603</v>
      </c>
    </row>
    <row r="13" spans="1:2" x14ac:dyDescent="0.3">
      <c r="A13" s="2">
        <v>6654</v>
      </c>
      <c r="B13">
        <v>5712</v>
      </c>
    </row>
    <row r="14" spans="1:2" x14ac:dyDescent="0.3">
      <c r="A14" s="2" t="s">
        <v>10</v>
      </c>
      <c r="B14">
        <v>5712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2F60-E740-4EFE-AE60-4A08D3CF7DE5}">
  <dimension ref="A3:B14"/>
  <sheetViews>
    <sheetView topLeftCell="A2" workbookViewId="0">
      <selection activeCell="B18" sqref="B18"/>
    </sheetView>
  </sheetViews>
  <sheetFormatPr defaultRowHeight="15.6" x14ac:dyDescent="0.3"/>
  <cols>
    <col min="1" max="1" width="12.296875" bestFit="1" customWidth="1"/>
    <col min="2" max="2" width="19.5" bestFit="1" customWidth="1"/>
  </cols>
  <sheetData>
    <row r="3" spans="1:2" x14ac:dyDescent="0.3">
      <c r="A3" s="1" t="s">
        <v>9</v>
      </c>
      <c r="B3" t="s">
        <v>12</v>
      </c>
    </row>
    <row r="4" spans="1:2" x14ac:dyDescent="0.3">
      <c r="A4" s="2">
        <v>1.41</v>
      </c>
      <c r="B4">
        <v>34</v>
      </c>
    </row>
    <row r="5" spans="1:2" x14ac:dyDescent="0.3">
      <c r="A5" s="2">
        <v>6654</v>
      </c>
      <c r="B5">
        <v>38.6</v>
      </c>
    </row>
    <row r="6" spans="1:2" x14ac:dyDescent="0.3">
      <c r="A6" s="2">
        <v>207</v>
      </c>
      <c r="B6">
        <v>39.299999999999997</v>
      </c>
    </row>
    <row r="7" spans="1:2" x14ac:dyDescent="0.3">
      <c r="A7" s="2">
        <v>187.1</v>
      </c>
      <c r="B7">
        <v>40</v>
      </c>
    </row>
    <row r="8" spans="1:2" x14ac:dyDescent="0.3">
      <c r="A8" s="2">
        <v>85</v>
      </c>
      <c r="B8">
        <v>41</v>
      </c>
    </row>
    <row r="9" spans="1:2" x14ac:dyDescent="0.3">
      <c r="A9" s="2">
        <v>521</v>
      </c>
      <c r="B9">
        <v>46</v>
      </c>
    </row>
    <row r="10" spans="1:2" x14ac:dyDescent="0.3">
      <c r="A10" s="2">
        <v>52.16</v>
      </c>
      <c r="B10">
        <v>50</v>
      </c>
    </row>
    <row r="11" spans="1:2" x14ac:dyDescent="0.3">
      <c r="A11" s="2">
        <v>3</v>
      </c>
      <c r="B11">
        <v>50</v>
      </c>
    </row>
    <row r="12" spans="1:2" x14ac:dyDescent="0.3">
      <c r="A12" s="2">
        <v>2547</v>
      </c>
      <c r="B12">
        <v>69</v>
      </c>
    </row>
    <row r="13" spans="1:2" x14ac:dyDescent="0.3">
      <c r="A13" s="2">
        <v>62</v>
      </c>
      <c r="B13">
        <v>100</v>
      </c>
    </row>
    <row r="14" spans="1:2" x14ac:dyDescent="0.3">
      <c r="A14" s="2" t="s">
        <v>10</v>
      </c>
      <c r="B14">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7DB44-B13E-4A53-8CFD-F1C8E9EA85A5}">
  <dimension ref="A3:B14"/>
  <sheetViews>
    <sheetView topLeftCell="A2" workbookViewId="0">
      <selection activeCell="N11" sqref="N11"/>
    </sheetView>
  </sheetViews>
  <sheetFormatPr defaultRowHeight="15.6" x14ac:dyDescent="0.3"/>
  <cols>
    <col min="1" max="1" width="12.296875" bestFit="1" customWidth="1"/>
    <col min="2" max="2" width="20" bestFit="1" customWidth="1"/>
  </cols>
  <sheetData>
    <row r="3" spans="1:2" x14ac:dyDescent="0.3">
      <c r="A3" s="1" t="s">
        <v>9</v>
      </c>
      <c r="B3" t="s">
        <v>14</v>
      </c>
    </row>
    <row r="4" spans="1:2" x14ac:dyDescent="0.3">
      <c r="A4" s="2">
        <v>100</v>
      </c>
      <c r="B4">
        <v>267</v>
      </c>
    </row>
    <row r="5" spans="1:2" x14ac:dyDescent="0.3">
      <c r="A5" s="2">
        <v>30</v>
      </c>
      <c r="B5">
        <v>281</v>
      </c>
    </row>
    <row r="6" spans="1:2" x14ac:dyDescent="0.3">
      <c r="A6" s="2">
        <v>41</v>
      </c>
      <c r="B6">
        <v>310</v>
      </c>
    </row>
    <row r="7" spans="1:2" x14ac:dyDescent="0.3">
      <c r="A7" s="2">
        <v>46</v>
      </c>
      <c r="B7">
        <v>336</v>
      </c>
    </row>
    <row r="8" spans="1:2" x14ac:dyDescent="0.3">
      <c r="A8" s="2">
        <v>40</v>
      </c>
      <c r="B8">
        <v>365</v>
      </c>
    </row>
    <row r="9" spans="1:2" x14ac:dyDescent="0.3">
      <c r="A9" s="2">
        <v>30.4</v>
      </c>
      <c r="B9">
        <v>392</v>
      </c>
    </row>
    <row r="10" spans="1:2" x14ac:dyDescent="0.3">
      <c r="A10" s="2">
        <v>28</v>
      </c>
      <c r="B10">
        <v>400</v>
      </c>
    </row>
    <row r="11" spans="1:2" x14ac:dyDescent="0.3">
      <c r="A11" s="2">
        <v>23.6</v>
      </c>
      <c r="B11">
        <v>440</v>
      </c>
    </row>
    <row r="12" spans="1:2" x14ac:dyDescent="0.3">
      <c r="A12" s="2">
        <v>69</v>
      </c>
      <c r="B12">
        <v>624</v>
      </c>
    </row>
    <row r="13" spans="1:2" x14ac:dyDescent="0.3">
      <c r="A13" s="2">
        <v>38.6</v>
      </c>
      <c r="B13">
        <v>645</v>
      </c>
    </row>
    <row r="14" spans="1:2" x14ac:dyDescent="0.3">
      <c r="A14" s="2" t="s">
        <v>10</v>
      </c>
      <c r="B14">
        <v>645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EC36-15A2-42A9-BCC7-F5E3B3D008FD}">
  <dimension ref="A3:B9"/>
  <sheetViews>
    <sheetView topLeftCell="A2" workbookViewId="0">
      <selection activeCell="N13" sqref="N13"/>
    </sheetView>
  </sheetViews>
  <sheetFormatPr defaultRowHeight="15.6" x14ac:dyDescent="0.3"/>
  <cols>
    <col min="1" max="1" width="12.296875" bestFit="1" customWidth="1"/>
    <col min="2" max="2" width="16.69921875" bestFit="1" customWidth="1"/>
  </cols>
  <sheetData>
    <row r="3" spans="1:2" x14ac:dyDescent="0.3">
      <c r="A3" s="1" t="s">
        <v>9</v>
      </c>
      <c r="B3" t="s">
        <v>13</v>
      </c>
    </row>
    <row r="4" spans="1:2" x14ac:dyDescent="0.3">
      <c r="A4" s="2">
        <v>2</v>
      </c>
      <c r="B4">
        <v>190.79999999999998</v>
      </c>
    </row>
    <row r="5" spans="1:2" x14ac:dyDescent="0.3">
      <c r="A5" s="2">
        <v>1</v>
      </c>
      <c r="B5">
        <v>168.70000000000002</v>
      </c>
    </row>
    <row r="6" spans="1:2" x14ac:dyDescent="0.3">
      <c r="A6" s="2">
        <v>3</v>
      </c>
      <c r="B6">
        <v>91.2</v>
      </c>
    </row>
    <row r="7" spans="1:2" x14ac:dyDescent="0.3">
      <c r="A7" s="2">
        <v>5</v>
      </c>
      <c r="B7">
        <v>88.6</v>
      </c>
    </row>
    <row r="8" spans="1:2" x14ac:dyDescent="0.3">
      <c r="A8" s="2">
        <v>4</v>
      </c>
      <c r="B8">
        <v>71.599999999999994</v>
      </c>
    </row>
    <row r="9" spans="1:2" x14ac:dyDescent="0.3">
      <c r="A9" s="2" t="s">
        <v>10</v>
      </c>
      <c r="B9">
        <v>610.9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CDFDD-0835-4123-9129-47B3D2F93DAC}">
  <dimension ref="A3:B9"/>
  <sheetViews>
    <sheetView topLeftCell="A3" workbookViewId="0">
      <selection activeCell="O16" sqref="O16"/>
    </sheetView>
  </sheetViews>
  <sheetFormatPr defaultRowHeight="15.6" x14ac:dyDescent="0.3"/>
  <cols>
    <col min="1" max="1" width="12.296875" bestFit="1" customWidth="1"/>
    <col min="2" max="2" width="16.69921875" bestFit="1" customWidth="1"/>
  </cols>
  <sheetData>
    <row r="3" spans="1:2" x14ac:dyDescent="0.3">
      <c r="A3" s="1" t="s">
        <v>9</v>
      </c>
      <c r="B3" t="s">
        <v>13</v>
      </c>
    </row>
    <row r="4" spans="1:2" x14ac:dyDescent="0.3">
      <c r="A4" s="2">
        <v>1</v>
      </c>
      <c r="B4">
        <v>235.50000000000003</v>
      </c>
    </row>
    <row r="5" spans="1:2" x14ac:dyDescent="0.3">
      <c r="A5" s="2">
        <v>2</v>
      </c>
      <c r="B5">
        <v>164.5</v>
      </c>
    </row>
    <row r="6" spans="1:2" x14ac:dyDescent="0.3">
      <c r="A6" s="2">
        <v>3</v>
      </c>
      <c r="B6">
        <v>103.10000000000002</v>
      </c>
    </row>
    <row r="7" spans="1:2" x14ac:dyDescent="0.3">
      <c r="A7" s="2">
        <v>4</v>
      </c>
      <c r="B7">
        <v>79.300000000000011</v>
      </c>
    </row>
    <row r="8" spans="1:2" x14ac:dyDescent="0.3">
      <c r="A8" s="2">
        <v>5</v>
      </c>
      <c r="B8">
        <v>28.500000000000004</v>
      </c>
    </row>
    <row r="9" spans="1:2" x14ac:dyDescent="0.3">
      <c r="A9" s="2" t="s">
        <v>10</v>
      </c>
      <c r="B9">
        <v>610.90000000000009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85E11-09E7-424C-94BC-06F474AFCFFF}">
  <dimension ref="A3:B9"/>
  <sheetViews>
    <sheetView workbookViewId="0">
      <selection activeCell="N8" sqref="N8"/>
    </sheetView>
  </sheetViews>
  <sheetFormatPr defaultRowHeight="15.6" x14ac:dyDescent="0.3"/>
  <cols>
    <col min="1" max="1" width="12.296875" bestFit="1" customWidth="1"/>
    <col min="2" max="2" width="16.69921875" bestFit="1" customWidth="1"/>
  </cols>
  <sheetData>
    <row r="3" spans="1:2" x14ac:dyDescent="0.3">
      <c r="A3" s="1" t="s">
        <v>9</v>
      </c>
      <c r="B3" t="s">
        <v>13</v>
      </c>
    </row>
    <row r="4" spans="1:2" x14ac:dyDescent="0.3">
      <c r="A4" s="2">
        <v>1</v>
      </c>
      <c r="B4">
        <v>336.6</v>
      </c>
    </row>
    <row r="5" spans="1:2" x14ac:dyDescent="0.3">
      <c r="A5" s="2">
        <v>2</v>
      </c>
      <c r="B5">
        <v>144.5</v>
      </c>
    </row>
    <row r="6" spans="1:2" x14ac:dyDescent="0.3">
      <c r="A6" s="2">
        <v>4</v>
      </c>
      <c r="B6">
        <v>53.599999999999994</v>
      </c>
    </row>
    <row r="7" spans="1:2" x14ac:dyDescent="0.3">
      <c r="A7" s="2">
        <v>5</v>
      </c>
      <c r="B7">
        <v>41.9</v>
      </c>
    </row>
    <row r="8" spans="1:2" x14ac:dyDescent="0.3">
      <c r="A8" s="2">
        <v>3</v>
      </c>
      <c r="B8">
        <v>34.299999999999997</v>
      </c>
    </row>
    <row r="9" spans="1:2" x14ac:dyDescent="0.3">
      <c r="A9" s="2" t="s">
        <v>10</v>
      </c>
      <c r="B9">
        <v>610.9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FD80-E651-40C4-91A7-753589A7AB30}">
  <dimension ref="A1"/>
  <sheetViews>
    <sheetView showGridLines="0" zoomScale="94" zoomScaleNormal="94" workbookViewId="0">
      <selection activeCell="W28" sqref="W28"/>
    </sheetView>
  </sheetViews>
  <sheetFormatPr defaultRowHeight="15.6"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4E3D-0083-430A-85A9-936FC9C34B92}">
  <dimension ref="A1:R63"/>
  <sheetViews>
    <sheetView workbookViewId="0">
      <selection activeCell="M8" sqref="M8"/>
    </sheetView>
  </sheetViews>
  <sheetFormatPr defaultRowHeight="15.6" x14ac:dyDescent="0.3"/>
  <cols>
    <col min="1" max="1" width="16.09765625" customWidth="1"/>
    <col min="2" max="2" width="13.69921875" customWidth="1"/>
    <col min="3" max="3" width="14.69921875" customWidth="1"/>
    <col min="4" max="4" width="15.19921875" customWidth="1"/>
    <col min="5" max="5" width="16.5" customWidth="1"/>
    <col min="6" max="6" width="21.296875" customWidth="1"/>
    <col min="7" max="7" width="14" customWidth="1"/>
    <col min="8" max="8" width="12" customWidth="1"/>
  </cols>
  <sheetData>
    <row r="1" spans="1:18" x14ac:dyDescent="0.3">
      <c r="A1" t="s">
        <v>0</v>
      </c>
      <c r="B1" t="s">
        <v>1</v>
      </c>
      <c r="C1" t="s">
        <v>2</v>
      </c>
      <c r="D1" t="s">
        <v>3</v>
      </c>
      <c r="E1" t="s">
        <v>4</v>
      </c>
      <c r="F1" t="s">
        <v>5</v>
      </c>
      <c r="G1" t="s">
        <v>6</v>
      </c>
      <c r="H1" t="s">
        <v>7</v>
      </c>
      <c r="J1" s="3">
        <f>AVERAGE(A:A)</f>
        <v>198.78998387096775</v>
      </c>
      <c r="K1" s="3">
        <f>AVERAGE(B:B)</f>
        <v>283.13419354838709</v>
      </c>
      <c r="L1" s="3">
        <f>AVERAGE(C:C)</f>
        <v>19.877586206896552</v>
      </c>
      <c r="M1" s="3">
        <f>AVERAGE(D:D)</f>
        <v>142.35344827586206</v>
      </c>
      <c r="N1">
        <f>COUNTIF(E:E, 1)</f>
        <v>14</v>
      </c>
      <c r="O1">
        <f>COUNTIF(F:F, 1)</f>
        <v>27</v>
      </c>
      <c r="P1">
        <f>COUNTIF(G:G,1)</f>
        <v>19</v>
      </c>
      <c r="Q1" s="3">
        <f>MAX(H:H)</f>
        <v>19.899999999999999</v>
      </c>
      <c r="R1" s="3">
        <f>AVERAGE(H:H)</f>
        <v>10.532758620689648</v>
      </c>
    </row>
    <row r="2" spans="1:18" x14ac:dyDescent="0.3">
      <c r="A2">
        <v>6654</v>
      </c>
      <c r="B2">
        <v>5712</v>
      </c>
      <c r="C2">
        <v>38.6</v>
      </c>
      <c r="D2">
        <v>645</v>
      </c>
      <c r="E2">
        <v>3</v>
      </c>
      <c r="F2">
        <v>5</v>
      </c>
      <c r="G2">
        <v>3</v>
      </c>
      <c r="H2">
        <v>3.3</v>
      </c>
      <c r="J2" s="3"/>
      <c r="K2" s="3"/>
      <c r="L2" s="3"/>
      <c r="M2" s="3"/>
      <c r="N2">
        <f>COUNTIF(E:E, 2)</f>
        <v>15</v>
      </c>
      <c r="O2">
        <f>COUNTIF(F:F, 2)</f>
        <v>13</v>
      </c>
      <c r="P2">
        <f>COUNTIF(G:G,2)</f>
        <v>14</v>
      </c>
      <c r="Q2" s="3"/>
      <c r="R2" s="3"/>
    </row>
    <row r="3" spans="1:18" x14ac:dyDescent="0.3">
      <c r="A3">
        <v>1</v>
      </c>
      <c r="B3">
        <v>6.6</v>
      </c>
      <c r="C3">
        <v>4.5</v>
      </c>
      <c r="D3">
        <v>42</v>
      </c>
      <c r="E3">
        <v>3</v>
      </c>
      <c r="F3">
        <v>1</v>
      </c>
      <c r="G3">
        <v>3</v>
      </c>
      <c r="H3">
        <v>8.3000000000000007</v>
      </c>
      <c r="J3" s="3">
        <f>(A2-AVERAGE($A$2:$A$100))/_xlfn.STDEV.P($A$2:$A$100)</f>
        <v>7.2377784619933196</v>
      </c>
      <c r="K3" s="3">
        <f>(B2-AVERAGE($B$2:$B$100))/_xlfn.STDEV.P($B$2:$B$100)</f>
        <v>5.8833792372153439</v>
      </c>
      <c r="L3" s="3"/>
      <c r="M3" s="3"/>
      <c r="N3">
        <f>COUNTIF(E:E, 3)</f>
        <v>12</v>
      </c>
      <c r="O3">
        <f>COUNTIF(F:F, 3)</f>
        <v>4</v>
      </c>
      <c r="P3">
        <f>COUNTIF(G:G,3)</f>
        <v>10</v>
      </c>
      <c r="Q3" s="3"/>
      <c r="R3" s="3"/>
    </row>
    <row r="4" spans="1:18" x14ac:dyDescent="0.3">
      <c r="A4">
        <v>3.3849999999999998</v>
      </c>
      <c r="B4">
        <v>44.5</v>
      </c>
      <c r="C4">
        <v>14</v>
      </c>
      <c r="D4">
        <v>60</v>
      </c>
      <c r="E4">
        <v>1</v>
      </c>
      <c r="F4">
        <v>1</v>
      </c>
      <c r="G4">
        <v>1</v>
      </c>
      <c r="H4">
        <v>12.5</v>
      </c>
      <c r="J4" s="3"/>
      <c r="K4" s="3"/>
      <c r="L4" s="3"/>
      <c r="M4" s="3"/>
      <c r="N4">
        <f>COUNTIF(E:E, 4)</f>
        <v>7</v>
      </c>
      <c r="O4">
        <f>COUNTIF(F:F, 4)</f>
        <v>5</v>
      </c>
      <c r="P4">
        <f>COUNTIF(G:G,4)</f>
        <v>10</v>
      </c>
      <c r="Q4" s="3"/>
      <c r="R4" s="3"/>
    </row>
    <row r="5" spans="1:18" x14ac:dyDescent="0.3">
      <c r="A5">
        <v>0.92</v>
      </c>
      <c r="B5">
        <v>5.7</v>
      </c>
      <c r="C5" t="s">
        <v>8</v>
      </c>
      <c r="D5">
        <v>25</v>
      </c>
      <c r="E5">
        <v>5</v>
      </c>
      <c r="F5">
        <v>2</v>
      </c>
      <c r="G5">
        <v>3</v>
      </c>
      <c r="H5">
        <v>16.5</v>
      </c>
      <c r="J5" s="3"/>
      <c r="K5" s="3"/>
      <c r="L5" s="3"/>
      <c r="M5" s="3"/>
      <c r="N5">
        <f>COUNTIF(E:E, 5)</f>
        <v>14</v>
      </c>
      <c r="O5">
        <f>COUNTIF(F:F, 5)</f>
        <v>13</v>
      </c>
      <c r="P5">
        <f>COUNTIF(G:G,5)</f>
        <v>9</v>
      </c>
      <c r="Q5" s="3"/>
      <c r="R5" s="3"/>
    </row>
    <row r="6" spans="1:18" x14ac:dyDescent="0.3">
      <c r="A6">
        <v>2547</v>
      </c>
      <c r="B6">
        <v>4603</v>
      </c>
      <c r="C6">
        <v>69</v>
      </c>
      <c r="D6">
        <v>624</v>
      </c>
      <c r="E6">
        <v>3</v>
      </c>
      <c r="F6">
        <v>5</v>
      </c>
      <c r="G6">
        <v>4</v>
      </c>
      <c r="H6">
        <v>3.9</v>
      </c>
    </row>
    <row r="7" spans="1:18" x14ac:dyDescent="0.3">
      <c r="A7">
        <v>10.55</v>
      </c>
      <c r="B7">
        <v>179.5</v>
      </c>
      <c r="C7">
        <v>27</v>
      </c>
      <c r="D7">
        <v>180</v>
      </c>
      <c r="E7">
        <v>4</v>
      </c>
      <c r="F7">
        <v>4</v>
      </c>
      <c r="G7">
        <v>4</v>
      </c>
      <c r="H7">
        <v>9.8000000000000007</v>
      </c>
    </row>
    <row r="8" spans="1:18" x14ac:dyDescent="0.3">
      <c r="A8">
        <v>2.3E-2</v>
      </c>
      <c r="B8">
        <v>0.3</v>
      </c>
      <c r="C8">
        <v>19</v>
      </c>
      <c r="D8">
        <v>35</v>
      </c>
      <c r="E8">
        <v>1</v>
      </c>
      <c r="F8">
        <v>1</v>
      </c>
      <c r="G8">
        <v>1</v>
      </c>
      <c r="H8">
        <v>19.7</v>
      </c>
    </row>
    <row r="9" spans="1:18" x14ac:dyDescent="0.3">
      <c r="A9">
        <v>160</v>
      </c>
      <c r="B9">
        <v>169</v>
      </c>
      <c r="C9">
        <v>30.4</v>
      </c>
      <c r="D9">
        <v>392</v>
      </c>
      <c r="E9">
        <v>4</v>
      </c>
      <c r="F9">
        <v>5</v>
      </c>
      <c r="G9">
        <v>4</v>
      </c>
      <c r="H9">
        <v>6.2</v>
      </c>
    </row>
    <row r="10" spans="1:18" x14ac:dyDescent="0.3">
      <c r="A10">
        <v>3.3</v>
      </c>
      <c r="B10">
        <v>25.6</v>
      </c>
      <c r="C10">
        <v>28</v>
      </c>
      <c r="D10">
        <v>63</v>
      </c>
      <c r="E10">
        <v>1</v>
      </c>
      <c r="F10">
        <v>2</v>
      </c>
      <c r="G10">
        <v>1</v>
      </c>
      <c r="H10">
        <v>14.5</v>
      </c>
    </row>
    <row r="11" spans="1:18" x14ac:dyDescent="0.3">
      <c r="A11">
        <v>52.16</v>
      </c>
      <c r="B11">
        <v>440</v>
      </c>
      <c r="C11">
        <v>50</v>
      </c>
      <c r="D11">
        <v>230</v>
      </c>
      <c r="E11">
        <v>1</v>
      </c>
      <c r="F11">
        <v>1</v>
      </c>
      <c r="G11">
        <v>1</v>
      </c>
      <c r="H11">
        <v>9.6999999999999993</v>
      </c>
    </row>
    <row r="12" spans="1:18" x14ac:dyDescent="0.3">
      <c r="A12">
        <v>0.42499999999999999</v>
      </c>
      <c r="B12">
        <v>6.4</v>
      </c>
      <c r="C12">
        <v>7</v>
      </c>
      <c r="D12">
        <v>112</v>
      </c>
      <c r="E12">
        <v>5</v>
      </c>
      <c r="F12">
        <v>4</v>
      </c>
      <c r="G12">
        <v>4</v>
      </c>
      <c r="H12">
        <v>12.5</v>
      </c>
    </row>
    <row r="13" spans="1:18" x14ac:dyDescent="0.3">
      <c r="A13">
        <v>465</v>
      </c>
      <c r="B13">
        <v>423</v>
      </c>
      <c r="C13">
        <v>30</v>
      </c>
      <c r="D13">
        <v>281</v>
      </c>
      <c r="E13">
        <v>5</v>
      </c>
      <c r="F13">
        <v>5</v>
      </c>
      <c r="G13">
        <v>5</v>
      </c>
      <c r="H13">
        <v>3.9</v>
      </c>
    </row>
    <row r="14" spans="1:18" x14ac:dyDescent="0.3">
      <c r="A14">
        <v>0.55000000000000004</v>
      </c>
      <c r="B14">
        <v>2.4</v>
      </c>
      <c r="C14" t="s">
        <v>8</v>
      </c>
      <c r="D14" t="s">
        <v>8</v>
      </c>
      <c r="E14">
        <v>2</v>
      </c>
      <c r="F14">
        <v>1</v>
      </c>
      <c r="G14">
        <v>2</v>
      </c>
      <c r="H14">
        <v>10.3</v>
      </c>
    </row>
    <row r="15" spans="1:18" x14ac:dyDescent="0.3">
      <c r="A15">
        <v>187.1</v>
      </c>
      <c r="B15">
        <v>419</v>
      </c>
      <c r="C15">
        <v>40</v>
      </c>
      <c r="D15">
        <v>365</v>
      </c>
      <c r="E15">
        <v>5</v>
      </c>
      <c r="F15">
        <v>5</v>
      </c>
      <c r="G15">
        <v>5</v>
      </c>
      <c r="H15">
        <v>3.1</v>
      </c>
    </row>
    <row r="16" spans="1:18" x14ac:dyDescent="0.3">
      <c r="A16">
        <v>7.4999999999999997E-2</v>
      </c>
      <c r="B16">
        <v>1.2</v>
      </c>
      <c r="C16">
        <v>3.5</v>
      </c>
      <c r="D16">
        <v>42</v>
      </c>
      <c r="E16">
        <v>1</v>
      </c>
      <c r="F16">
        <v>1</v>
      </c>
      <c r="G16">
        <v>1</v>
      </c>
      <c r="H16">
        <v>8.4</v>
      </c>
    </row>
    <row r="17" spans="1:8" x14ac:dyDescent="0.3">
      <c r="A17">
        <v>3</v>
      </c>
      <c r="B17">
        <v>25</v>
      </c>
      <c r="C17">
        <v>50</v>
      </c>
      <c r="D17">
        <v>28</v>
      </c>
      <c r="E17">
        <v>2</v>
      </c>
      <c r="F17">
        <v>2</v>
      </c>
      <c r="G17">
        <v>2</v>
      </c>
      <c r="H17">
        <v>8.6</v>
      </c>
    </row>
    <row r="18" spans="1:8" x14ac:dyDescent="0.3">
      <c r="A18">
        <v>0.78500000000000003</v>
      </c>
      <c r="B18">
        <v>3.5</v>
      </c>
      <c r="C18">
        <v>6</v>
      </c>
      <c r="D18">
        <v>42</v>
      </c>
      <c r="E18">
        <v>2</v>
      </c>
      <c r="F18">
        <v>2</v>
      </c>
      <c r="G18">
        <v>2</v>
      </c>
      <c r="H18">
        <v>10.7</v>
      </c>
    </row>
    <row r="19" spans="1:8" x14ac:dyDescent="0.3">
      <c r="A19">
        <v>0.2</v>
      </c>
      <c r="B19">
        <v>5</v>
      </c>
      <c r="C19">
        <v>10.4</v>
      </c>
      <c r="D19">
        <v>120</v>
      </c>
      <c r="E19">
        <v>2</v>
      </c>
      <c r="F19">
        <v>2</v>
      </c>
      <c r="G19">
        <v>2</v>
      </c>
      <c r="H19">
        <v>10.7</v>
      </c>
    </row>
    <row r="20" spans="1:8" x14ac:dyDescent="0.3">
      <c r="A20">
        <v>1.41</v>
      </c>
      <c r="B20">
        <v>17.5</v>
      </c>
      <c r="C20">
        <v>34</v>
      </c>
      <c r="D20" t="s">
        <v>8</v>
      </c>
      <c r="E20">
        <v>1</v>
      </c>
      <c r="F20">
        <v>2</v>
      </c>
      <c r="G20">
        <v>1</v>
      </c>
      <c r="H20">
        <v>6.1</v>
      </c>
    </row>
    <row r="21" spans="1:8" x14ac:dyDescent="0.3">
      <c r="A21">
        <v>60</v>
      </c>
      <c r="B21">
        <v>81</v>
      </c>
      <c r="C21">
        <v>7</v>
      </c>
      <c r="D21" t="s">
        <v>8</v>
      </c>
      <c r="E21">
        <v>1</v>
      </c>
      <c r="F21">
        <v>1</v>
      </c>
      <c r="G21">
        <v>1</v>
      </c>
      <c r="H21">
        <v>18.100000000000001</v>
      </c>
    </row>
    <row r="22" spans="1:8" x14ac:dyDescent="0.3">
      <c r="A22">
        <v>529</v>
      </c>
      <c r="B22">
        <v>680</v>
      </c>
      <c r="C22">
        <v>28</v>
      </c>
      <c r="D22">
        <v>400</v>
      </c>
      <c r="E22">
        <v>5</v>
      </c>
      <c r="F22">
        <v>5</v>
      </c>
      <c r="G22">
        <v>5</v>
      </c>
      <c r="H22" t="s">
        <v>8</v>
      </c>
    </row>
    <row r="23" spans="1:8" x14ac:dyDescent="0.3">
      <c r="A23">
        <v>27.66</v>
      </c>
      <c r="B23">
        <v>115</v>
      </c>
      <c r="C23">
        <v>20</v>
      </c>
      <c r="D23">
        <v>148</v>
      </c>
      <c r="E23">
        <v>5</v>
      </c>
      <c r="F23">
        <v>5</v>
      </c>
      <c r="G23">
        <v>5</v>
      </c>
      <c r="H23">
        <v>3.8</v>
      </c>
    </row>
    <row r="24" spans="1:8" x14ac:dyDescent="0.3">
      <c r="A24">
        <v>0.12</v>
      </c>
      <c r="B24">
        <v>1</v>
      </c>
      <c r="C24">
        <v>3.9</v>
      </c>
      <c r="D24">
        <v>16</v>
      </c>
      <c r="E24">
        <v>3</v>
      </c>
      <c r="F24">
        <v>1</v>
      </c>
      <c r="G24">
        <v>2</v>
      </c>
      <c r="H24">
        <v>14.4</v>
      </c>
    </row>
    <row r="25" spans="1:8" x14ac:dyDescent="0.3">
      <c r="A25">
        <v>207</v>
      </c>
      <c r="B25">
        <v>406</v>
      </c>
      <c r="C25">
        <v>39.299999999999997</v>
      </c>
      <c r="D25">
        <v>252</v>
      </c>
      <c r="E25">
        <v>1</v>
      </c>
      <c r="F25">
        <v>4</v>
      </c>
      <c r="G25">
        <v>1</v>
      </c>
      <c r="H25">
        <v>12</v>
      </c>
    </row>
    <row r="26" spans="1:8" x14ac:dyDescent="0.3">
      <c r="A26">
        <v>85</v>
      </c>
      <c r="B26">
        <v>325</v>
      </c>
      <c r="C26">
        <v>41</v>
      </c>
      <c r="D26">
        <v>310</v>
      </c>
      <c r="E26">
        <v>1</v>
      </c>
      <c r="F26">
        <v>3</v>
      </c>
      <c r="G26">
        <v>1</v>
      </c>
      <c r="H26">
        <v>6.2</v>
      </c>
    </row>
    <row r="27" spans="1:8" x14ac:dyDescent="0.3">
      <c r="A27">
        <v>36.33</v>
      </c>
      <c r="B27">
        <v>119.5</v>
      </c>
      <c r="C27">
        <v>16.2</v>
      </c>
      <c r="D27">
        <v>63</v>
      </c>
      <c r="E27">
        <v>1</v>
      </c>
      <c r="F27">
        <v>1</v>
      </c>
      <c r="G27">
        <v>1</v>
      </c>
      <c r="H27">
        <v>13</v>
      </c>
    </row>
    <row r="28" spans="1:8" x14ac:dyDescent="0.3">
      <c r="A28">
        <v>0.10100000000000001</v>
      </c>
      <c r="B28">
        <v>4</v>
      </c>
      <c r="C28">
        <v>9</v>
      </c>
      <c r="D28">
        <v>28</v>
      </c>
      <c r="E28">
        <v>5</v>
      </c>
      <c r="F28">
        <v>1</v>
      </c>
      <c r="G28">
        <v>3</v>
      </c>
      <c r="H28">
        <v>13.8</v>
      </c>
    </row>
    <row r="29" spans="1:8" x14ac:dyDescent="0.3">
      <c r="A29">
        <v>1.04</v>
      </c>
      <c r="B29">
        <v>5.5</v>
      </c>
      <c r="C29">
        <v>7.6</v>
      </c>
      <c r="D29">
        <v>68</v>
      </c>
      <c r="E29">
        <v>5</v>
      </c>
      <c r="F29">
        <v>3</v>
      </c>
      <c r="G29">
        <v>4</v>
      </c>
      <c r="H29">
        <v>8.1999999999999993</v>
      </c>
    </row>
    <row r="30" spans="1:8" x14ac:dyDescent="0.3">
      <c r="A30">
        <v>521</v>
      </c>
      <c r="B30">
        <v>655</v>
      </c>
      <c r="C30">
        <v>46</v>
      </c>
      <c r="D30">
        <v>336</v>
      </c>
      <c r="E30">
        <v>5</v>
      </c>
      <c r="F30">
        <v>5</v>
      </c>
      <c r="G30">
        <v>5</v>
      </c>
      <c r="H30">
        <v>2.9</v>
      </c>
    </row>
    <row r="31" spans="1:8" x14ac:dyDescent="0.3">
      <c r="A31">
        <v>100</v>
      </c>
      <c r="B31">
        <v>157</v>
      </c>
      <c r="C31">
        <v>22.4</v>
      </c>
      <c r="D31">
        <v>100</v>
      </c>
      <c r="E31">
        <v>1</v>
      </c>
      <c r="F31">
        <v>1</v>
      </c>
      <c r="G31">
        <v>1</v>
      </c>
      <c r="H31">
        <v>10.8</v>
      </c>
    </row>
    <row r="32" spans="1:8" x14ac:dyDescent="0.3">
      <c r="A32">
        <v>35</v>
      </c>
      <c r="B32">
        <v>56</v>
      </c>
      <c r="C32">
        <v>16.3</v>
      </c>
      <c r="D32">
        <v>33</v>
      </c>
      <c r="E32">
        <v>3</v>
      </c>
      <c r="F32">
        <v>5</v>
      </c>
      <c r="G32">
        <v>4</v>
      </c>
      <c r="H32" t="s">
        <v>8</v>
      </c>
    </row>
    <row r="33" spans="1:8" x14ac:dyDescent="0.3">
      <c r="A33">
        <v>5.0000000000000001E-3</v>
      </c>
      <c r="B33">
        <v>0.14000000000000001</v>
      </c>
      <c r="C33">
        <v>2.6</v>
      </c>
      <c r="D33">
        <v>21.5</v>
      </c>
      <c r="E33">
        <v>5</v>
      </c>
      <c r="F33">
        <v>2</v>
      </c>
      <c r="G33">
        <v>4</v>
      </c>
      <c r="H33">
        <v>9.1</v>
      </c>
    </row>
    <row r="34" spans="1:8" x14ac:dyDescent="0.3">
      <c r="A34">
        <v>0.01</v>
      </c>
      <c r="B34">
        <v>0.25</v>
      </c>
      <c r="C34">
        <v>24</v>
      </c>
      <c r="D34">
        <v>50</v>
      </c>
      <c r="E34">
        <v>1</v>
      </c>
      <c r="F34">
        <v>1</v>
      </c>
      <c r="G34">
        <v>1</v>
      </c>
      <c r="H34">
        <v>19.899999999999999</v>
      </c>
    </row>
    <row r="35" spans="1:8" x14ac:dyDescent="0.3">
      <c r="A35">
        <v>62</v>
      </c>
      <c r="B35">
        <v>1320</v>
      </c>
      <c r="C35">
        <v>100</v>
      </c>
      <c r="D35">
        <v>267</v>
      </c>
      <c r="E35">
        <v>1</v>
      </c>
      <c r="F35">
        <v>1</v>
      </c>
      <c r="G35">
        <v>1</v>
      </c>
      <c r="H35">
        <v>8</v>
      </c>
    </row>
    <row r="36" spans="1:8" x14ac:dyDescent="0.3">
      <c r="A36">
        <v>0.122</v>
      </c>
      <c r="B36">
        <v>3</v>
      </c>
      <c r="C36" t="s">
        <v>8</v>
      </c>
      <c r="D36">
        <v>30</v>
      </c>
      <c r="E36">
        <v>2</v>
      </c>
      <c r="F36">
        <v>1</v>
      </c>
      <c r="G36">
        <v>1</v>
      </c>
      <c r="H36">
        <v>10.6</v>
      </c>
    </row>
    <row r="37" spans="1:8" x14ac:dyDescent="0.3">
      <c r="A37">
        <v>1.35</v>
      </c>
      <c r="B37">
        <v>8.1</v>
      </c>
      <c r="C37" t="s">
        <v>8</v>
      </c>
      <c r="D37">
        <v>45</v>
      </c>
      <c r="E37">
        <v>3</v>
      </c>
      <c r="F37">
        <v>1</v>
      </c>
      <c r="G37">
        <v>3</v>
      </c>
      <c r="H37">
        <v>11.2</v>
      </c>
    </row>
    <row r="38" spans="1:8" x14ac:dyDescent="0.3">
      <c r="A38">
        <v>2.3E-2</v>
      </c>
      <c r="B38">
        <v>0.4</v>
      </c>
      <c r="C38">
        <v>3.2</v>
      </c>
      <c r="D38">
        <v>19</v>
      </c>
      <c r="E38">
        <v>4</v>
      </c>
      <c r="F38">
        <v>1</v>
      </c>
      <c r="G38">
        <v>3</v>
      </c>
      <c r="H38">
        <v>13.2</v>
      </c>
    </row>
    <row r="39" spans="1:8" x14ac:dyDescent="0.3">
      <c r="A39">
        <v>4.8000000000000001E-2</v>
      </c>
      <c r="B39">
        <v>0.33</v>
      </c>
      <c r="C39">
        <v>2</v>
      </c>
      <c r="D39">
        <v>30</v>
      </c>
      <c r="E39">
        <v>4</v>
      </c>
      <c r="F39">
        <v>1</v>
      </c>
      <c r="G39">
        <v>3</v>
      </c>
      <c r="H39">
        <v>12.8</v>
      </c>
    </row>
    <row r="40" spans="1:8" x14ac:dyDescent="0.3">
      <c r="A40">
        <v>1.7</v>
      </c>
      <c r="B40">
        <v>6.3</v>
      </c>
      <c r="C40">
        <v>5</v>
      </c>
      <c r="D40">
        <v>12</v>
      </c>
      <c r="E40">
        <v>2</v>
      </c>
      <c r="F40">
        <v>1</v>
      </c>
      <c r="G40">
        <v>1</v>
      </c>
      <c r="H40">
        <v>19.399999999999999</v>
      </c>
    </row>
    <row r="41" spans="1:8" x14ac:dyDescent="0.3">
      <c r="A41">
        <v>3.5</v>
      </c>
      <c r="B41">
        <v>10.8</v>
      </c>
      <c r="C41">
        <v>6.5</v>
      </c>
      <c r="D41">
        <v>120</v>
      </c>
      <c r="E41">
        <v>2</v>
      </c>
      <c r="F41">
        <v>1</v>
      </c>
      <c r="G41">
        <v>1</v>
      </c>
      <c r="H41">
        <v>17.399999999999999</v>
      </c>
    </row>
    <row r="42" spans="1:8" x14ac:dyDescent="0.3">
      <c r="A42">
        <v>250</v>
      </c>
      <c r="B42">
        <v>490</v>
      </c>
      <c r="C42">
        <v>23.6</v>
      </c>
      <c r="D42">
        <v>440</v>
      </c>
      <c r="E42">
        <v>5</v>
      </c>
      <c r="F42">
        <v>5</v>
      </c>
      <c r="G42">
        <v>5</v>
      </c>
      <c r="H42" t="s">
        <v>8</v>
      </c>
    </row>
    <row r="43" spans="1:8" x14ac:dyDescent="0.3">
      <c r="A43">
        <v>0.48</v>
      </c>
      <c r="B43">
        <v>15.5</v>
      </c>
      <c r="C43">
        <v>12</v>
      </c>
      <c r="D43">
        <v>140</v>
      </c>
      <c r="E43">
        <v>2</v>
      </c>
      <c r="F43">
        <v>2</v>
      </c>
      <c r="G43">
        <v>2</v>
      </c>
      <c r="H43">
        <v>17</v>
      </c>
    </row>
    <row r="44" spans="1:8" x14ac:dyDescent="0.3">
      <c r="A44">
        <v>10</v>
      </c>
      <c r="B44">
        <v>115</v>
      </c>
      <c r="C44">
        <v>20.2</v>
      </c>
      <c r="D44">
        <v>170</v>
      </c>
      <c r="E44">
        <v>4</v>
      </c>
      <c r="F44">
        <v>4</v>
      </c>
      <c r="G44">
        <v>4</v>
      </c>
      <c r="H44">
        <v>10.9</v>
      </c>
    </row>
    <row r="45" spans="1:8" x14ac:dyDescent="0.3">
      <c r="A45">
        <v>1.62</v>
      </c>
      <c r="B45">
        <v>11.4</v>
      </c>
      <c r="C45">
        <v>13</v>
      </c>
      <c r="D45">
        <v>17</v>
      </c>
      <c r="E45">
        <v>2</v>
      </c>
      <c r="F45">
        <v>1</v>
      </c>
      <c r="G45">
        <v>2</v>
      </c>
      <c r="H45">
        <v>13.7</v>
      </c>
    </row>
    <row r="46" spans="1:8" x14ac:dyDescent="0.3">
      <c r="A46">
        <v>192</v>
      </c>
      <c r="B46">
        <v>180</v>
      </c>
      <c r="C46">
        <v>27</v>
      </c>
      <c r="D46">
        <v>115</v>
      </c>
      <c r="E46">
        <v>4</v>
      </c>
      <c r="F46">
        <v>4</v>
      </c>
      <c r="G46">
        <v>4</v>
      </c>
      <c r="H46">
        <v>8.4</v>
      </c>
    </row>
    <row r="47" spans="1:8" x14ac:dyDescent="0.3">
      <c r="A47">
        <v>2.5</v>
      </c>
      <c r="B47">
        <v>12.1</v>
      </c>
      <c r="C47">
        <v>18</v>
      </c>
      <c r="D47">
        <v>31</v>
      </c>
      <c r="E47">
        <v>5</v>
      </c>
      <c r="F47">
        <v>5</v>
      </c>
      <c r="G47">
        <v>5</v>
      </c>
      <c r="H47">
        <v>8.4</v>
      </c>
    </row>
    <row r="48" spans="1:8" x14ac:dyDescent="0.3">
      <c r="A48">
        <v>4.2880000000000003</v>
      </c>
      <c r="B48">
        <v>39.200000000000003</v>
      </c>
      <c r="C48">
        <v>13.7</v>
      </c>
      <c r="D48">
        <v>63</v>
      </c>
      <c r="E48">
        <v>2</v>
      </c>
      <c r="F48">
        <v>2</v>
      </c>
      <c r="G48">
        <v>2</v>
      </c>
      <c r="H48">
        <v>12.5</v>
      </c>
    </row>
    <row r="49" spans="1:8" x14ac:dyDescent="0.3">
      <c r="A49">
        <v>0.28000000000000003</v>
      </c>
      <c r="B49">
        <v>1.9</v>
      </c>
      <c r="C49">
        <v>4.7</v>
      </c>
      <c r="D49">
        <v>21</v>
      </c>
      <c r="E49">
        <v>3</v>
      </c>
      <c r="F49">
        <v>1</v>
      </c>
      <c r="G49">
        <v>3</v>
      </c>
      <c r="H49">
        <v>13.2</v>
      </c>
    </row>
    <row r="50" spans="1:8" x14ac:dyDescent="0.3">
      <c r="A50">
        <v>4.2350000000000003</v>
      </c>
      <c r="B50">
        <v>50.4</v>
      </c>
      <c r="C50">
        <v>9.8000000000000007</v>
      </c>
      <c r="D50">
        <v>52</v>
      </c>
      <c r="E50">
        <v>1</v>
      </c>
      <c r="F50">
        <v>1</v>
      </c>
      <c r="G50">
        <v>1</v>
      </c>
      <c r="H50">
        <v>9.8000000000000007</v>
      </c>
    </row>
    <row r="51" spans="1:8" x14ac:dyDescent="0.3">
      <c r="A51">
        <v>6.8</v>
      </c>
      <c r="B51">
        <v>179</v>
      </c>
      <c r="C51">
        <v>29</v>
      </c>
      <c r="D51">
        <v>164</v>
      </c>
      <c r="E51">
        <v>2</v>
      </c>
      <c r="F51">
        <v>3</v>
      </c>
      <c r="G51">
        <v>2</v>
      </c>
      <c r="H51">
        <v>9.6</v>
      </c>
    </row>
    <row r="52" spans="1:8" x14ac:dyDescent="0.3">
      <c r="A52">
        <v>0.75</v>
      </c>
      <c r="B52">
        <v>12.3</v>
      </c>
      <c r="C52">
        <v>7</v>
      </c>
      <c r="D52">
        <v>225</v>
      </c>
      <c r="E52">
        <v>2</v>
      </c>
      <c r="F52">
        <v>2</v>
      </c>
      <c r="G52">
        <v>2</v>
      </c>
      <c r="H52">
        <v>6.6</v>
      </c>
    </row>
    <row r="53" spans="1:8" x14ac:dyDescent="0.3">
      <c r="A53">
        <v>3.6</v>
      </c>
      <c r="B53">
        <v>21</v>
      </c>
      <c r="C53">
        <v>6</v>
      </c>
      <c r="D53">
        <v>225</v>
      </c>
      <c r="E53">
        <v>3</v>
      </c>
      <c r="F53">
        <v>2</v>
      </c>
      <c r="G53">
        <v>3</v>
      </c>
      <c r="H53">
        <v>5.4</v>
      </c>
    </row>
    <row r="54" spans="1:8" x14ac:dyDescent="0.3">
      <c r="A54">
        <v>14.83</v>
      </c>
      <c r="B54">
        <v>98.2</v>
      </c>
      <c r="C54">
        <v>17</v>
      </c>
      <c r="D54">
        <v>150</v>
      </c>
      <c r="E54">
        <v>5</v>
      </c>
      <c r="F54">
        <v>5</v>
      </c>
      <c r="G54">
        <v>5</v>
      </c>
      <c r="H54">
        <v>2.6</v>
      </c>
    </row>
    <row r="55" spans="1:8" x14ac:dyDescent="0.3">
      <c r="A55">
        <v>55.5</v>
      </c>
      <c r="B55">
        <v>175</v>
      </c>
      <c r="C55">
        <v>20</v>
      </c>
      <c r="D55">
        <v>151</v>
      </c>
      <c r="E55">
        <v>5</v>
      </c>
      <c r="F55">
        <v>5</v>
      </c>
      <c r="G55">
        <v>5</v>
      </c>
      <c r="H55">
        <v>3.8</v>
      </c>
    </row>
    <row r="56" spans="1:8" x14ac:dyDescent="0.3">
      <c r="A56">
        <v>1.4</v>
      </c>
      <c r="B56">
        <v>12.5</v>
      </c>
      <c r="C56">
        <v>12.7</v>
      </c>
      <c r="D56">
        <v>90</v>
      </c>
      <c r="E56">
        <v>2</v>
      </c>
      <c r="F56">
        <v>2</v>
      </c>
      <c r="G56">
        <v>2</v>
      </c>
      <c r="H56">
        <v>11</v>
      </c>
    </row>
    <row r="57" spans="1:8" x14ac:dyDescent="0.3">
      <c r="A57">
        <v>0.06</v>
      </c>
      <c r="B57">
        <v>1</v>
      </c>
      <c r="C57">
        <v>3.5</v>
      </c>
      <c r="D57" t="s">
        <v>8</v>
      </c>
      <c r="E57">
        <v>3</v>
      </c>
      <c r="F57">
        <v>1</v>
      </c>
      <c r="G57">
        <v>2</v>
      </c>
      <c r="H57">
        <v>10.3</v>
      </c>
    </row>
    <row r="58" spans="1:8" x14ac:dyDescent="0.3">
      <c r="A58">
        <v>0.9</v>
      </c>
      <c r="B58">
        <v>2.6</v>
      </c>
      <c r="C58">
        <v>4.5</v>
      </c>
      <c r="D58">
        <v>60</v>
      </c>
      <c r="E58">
        <v>2</v>
      </c>
      <c r="F58">
        <v>1</v>
      </c>
      <c r="G58">
        <v>2</v>
      </c>
      <c r="H58">
        <v>13.3</v>
      </c>
    </row>
    <row r="59" spans="1:8" x14ac:dyDescent="0.3">
      <c r="A59">
        <v>2</v>
      </c>
      <c r="B59">
        <v>12.3</v>
      </c>
      <c r="C59">
        <v>7.5</v>
      </c>
      <c r="D59">
        <v>200</v>
      </c>
      <c r="E59">
        <v>3</v>
      </c>
      <c r="F59">
        <v>1</v>
      </c>
      <c r="G59">
        <v>3</v>
      </c>
      <c r="H59">
        <v>5.4</v>
      </c>
    </row>
    <row r="60" spans="1:8" x14ac:dyDescent="0.3">
      <c r="A60">
        <v>0.104</v>
      </c>
      <c r="B60">
        <v>2.5</v>
      </c>
      <c r="C60">
        <v>2.2999999999999998</v>
      </c>
      <c r="D60">
        <v>46</v>
      </c>
      <c r="E60">
        <v>3</v>
      </c>
      <c r="F60">
        <v>2</v>
      </c>
      <c r="G60">
        <v>2</v>
      </c>
      <c r="H60">
        <v>15.8</v>
      </c>
    </row>
    <row r="61" spans="1:8" x14ac:dyDescent="0.3">
      <c r="A61">
        <v>4.1900000000000004</v>
      </c>
      <c r="B61">
        <v>58</v>
      </c>
      <c r="C61">
        <v>24</v>
      </c>
      <c r="D61">
        <v>210</v>
      </c>
      <c r="E61">
        <v>4</v>
      </c>
      <c r="F61">
        <v>3</v>
      </c>
      <c r="G61">
        <v>4</v>
      </c>
      <c r="H61">
        <v>10.3</v>
      </c>
    </row>
    <row r="62" spans="1:8" x14ac:dyDescent="0.3">
      <c r="A62">
        <v>3.5</v>
      </c>
      <c r="B62">
        <v>3.9</v>
      </c>
      <c r="C62">
        <v>3</v>
      </c>
      <c r="D62">
        <v>14</v>
      </c>
      <c r="E62">
        <v>2</v>
      </c>
      <c r="F62">
        <v>1</v>
      </c>
      <c r="G62">
        <v>1</v>
      </c>
      <c r="H62">
        <v>19.399999999999999</v>
      </c>
    </row>
    <row r="63" spans="1:8" x14ac:dyDescent="0.3">
      <c r="A63">
        <v>4.05</v>
      </c>
      <c r="B63">
        <v>17</v>
      </c>
      <c r="C63">
        <v>13</v>
      </c>
      <c r="D63">
        <v>38</v>
      </c>
      <c r="E63">
        <v>3</v>
      </c>
      <c r="F63">
        <v>1</v>
      </c>
      <c r="G63">
        <v>1</v>
      </c>
      <c r="H63" t="s">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vt:lpstr>
      <vt:lpstr>Post-analysis Observations</vt:lpstr>
      <vt:lpstr>Post-analysis Recommendations</vt:lpstr>
      <vt:lpstr>In-analysis Board</vt:lpstr>
      <vt:lpstr>Body Weight vs Brain Weight</vt:lpstr>
      <vt:lpstr>Body Weight vs Life Span</vt:lpstr>
      <vt:lpstr>Gestation Time vs Life Span</vt:lpstr>
      <vt:lpstr>Predation Index vs. Total Sleep</vt:lpstr>
      <vt:lpstr>Danger Index vs. Total Sleep</vt:lpstr>
      <vt:lpstr>Sleep Exposure vs. Sleep</vt:lpstr>
      <vt:lpstr>Pre-analysis Board</vt:lpstr>
      <vt:lpstr>dataset_2191_sleep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Uchenna Nwosu</cp:lastModifiedBy>
  <dcterms:created xsi:type="dcterms:W3CDTF">2025-09-26T12:12:05Z</dcterms:created>
  <dcterms:modified xsi:type="dcterms:W3CDTF">2025-11-27T19:29:41Z</dcterms:modified>
</cp:coreProperties>
</file>