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Uche\Vaphla Uni\Tasks\Task 23\"/>
    </mc:Choice>
  </mc:AlternateContent>
  <xr:revisionPtr revIDLastSave="0" documentId="8_{E255B6A6-CF6B-4CE3-BB7C-9EDFEF482A22}" xr6:coauthVersionLast="47" xr6:coauthVersionMax="47" xr10:uidLastSave="{00000000-0000-0000-0000-000000000000}"/>
  <bookViews>
    <workbookView xWindow="-108" yWindow="-108" windowWidth="23256" windowHeight="12456" xr2:uid="{00000000-000D-0000-FFFF-FFFF00000000}"/>
  </bookViews>
  <sheets>
    <sheet name="Dashboard" sheetId="3" r:id="rId1"/>
    <sheet name="Post-analysis Observations" sheetId="37" r:id="rId2"/>
    <sheet name="Post-analysis Recommendations" sheetId="38" r:id="rId3"/>
    <sheet name="In-analysis Board" sheetId="36" r:id="rId4"/>
    <sheet name="Top 5 Performing Students" sheetId="21" r:id="rId5"/>
    <sheet name="Attendance &amp; Study Efficiency" sheetId="13" r:id="rId6"/>
    <sheet name="Sleep-Study Balance &amp; Study Eff" sheetId="14" r:id="rId7"/>
    <sheet name="Students with Highest Study Eff" sheetId="15" r:id="rId8"/>
    <sheet name="Efficiency Weight Distribution" sheetId="24" r:id="rId9"/>
    <sheet name="Exam Score &amp; Other Factors" sheetId="31" r:id="rId10"/>
    <sheet name="Exam Score &amp; Other Factors (2)" sheetId="35" r:id="rId11"/>
    <sheet name="Pre-analysis Board" sheetId="2" r:id="rId12"/>
    <sheet name="Dataset" sheetId="1" r:id="rId13"/>
    <sheet name="Mock Up Dataset" sheetId="29" r:id="rId14"/>
  </sheets>
  <definedNames>
    <definedName name="Slicer_student_id">#N/A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9" l="1"/>
  <c r="K7" i="29"/>
  <c r="J7" i="29"/>
  <c r="I7" i="29"/>
  <c r="H7" i="29"/>
  <c r="E7" i="29"/>
  <c r="N6" i="29"/>
  <c r="K6" i="29"/>
  <c r="J6" i="29"/>
  <c r="I6" i="29"/>
  <c r="H6" i="29"/>
  <c r="E6" i="29"/>
  <c r="N5" i="29"/>
  <c r="K5" i="29"/>
  <c r="J5" i="29"/>
  <c r="I5" i="29"/>
  <c r="H5" i="29"/>
  <c r="E5" i="29"/>
  <c r="N4" i="29"/>
  <c r="K4" i="29"/>
  <c r="J4" i="29"/>
  <c r="I4" i="29"/>
  <c r="H4" i="29"/>
  <c r="E4" i="29"/>
  <c r="N3" i="29"/>
  <c r="K3" i="29"/>
  <c r="J3" i="29"/>
  <c r="I3" i="29"/>
  <c r="H3" i="29"/>
  <c r="E3" i="29"/>
  <c r="N2" i="29"/>
  <c r="K2" i="29"/>
  <c r="J2" i="29"/>
  <c r="I2" i="29"/>
  <c r="H2" i="29"/>
  <c r="E2" i="29"/>
  <c r="I141" i="1"/>
  <c r="I181" i="1"/>
  <c r="I79" i="1"/>
  <c r="I102" i="1"/>
  <c r="I38" i="1"/>
  <c r="I82" i="1"/>
  <c r="I59" i="1"/>
  <c r="I200" i="1"/>
  <c r="I94" i="1"/>
  <c r="I182" i="1"/>
  <c r="I153" i="1"/>
  <c r="I87" i="1"/>
  <c r="I128" i="1"/>
  <c r="I142" i="1"/>
  <c r="I31" i="1"/>
  <c r="I101" i="1"/>
  <c r="I158" i="1"/>
  <c r="I69" i="1"/>
  <c r="I84" i="1"/>
  <c r="I201" i="1"/>
  <c r="I10" i="1"/>
  <c r="I72" i="1"/>
  <c r="I150" i="1"/>
  <c r="I78" i="1"/>
  <c r="I49" i="1"/>
  <c r="I144" i="1"/>
  <c r="I156" i="1"/>
  <c r="I172" i="1"/>
  <c r="I63" i="1"/>
  <c r="I70" i="1"/>
  <c r="I96" i="1"/>
  <c r="I29" i="1"/>
  <c r="I57" i="1"/>
  <c r="I21" i="1"/>
  <c r="I119" i="1"/>
  <c r="I120" i="1"/>
  <c r="I15" i="1"/>
  <c r="I54" i="1"/>
  <c r="I43" i="1"/>
  <c r="I90" i="1"/>
  <c r="I99" i="1"/>
  <c r="I191" i="1"/>
  <c r="I64" i="1"/>
  <c r="I139" i="1"/>
  <c r="I178" i="1"/>
  <c r="I121" i="1"/>
  <c r="I122" i="1"/>
  <c r="I129" i="1"/>
  <c r="I30" i="1"/>
  <c r="I137" i="1"/>
  <c r="I159" i="1"/>
  <c r="I134" i="1"/>
  <c r="I170" i="1"/>
  <c r="I8" i="1"/>
  <c r="I97" i="1"/>
  <c r="I66" i="1"/>
  <c r="I86" i="1"/>
  <c r="I55" i="1"/>
  <c r="I110" i="1"/>
  <c r="I154" i="1"/>
  <c r="I4" i="1"/>
  <c r="I73" i="1"/>
  <c r="I169" i="1"/>
  <c r="I74" i="1"/>
  <c r="I46" i="1"/>
  <c r="I68" i="1"/>
  <c r="I195" i="1"/>
  <c r="I115" i="1"/>
  <c r="I106" i="1"/>
  <c r="I185" i="1"/>
  <c r="I197" i="1"/>
  <c r="I5" i="1"/>
  <c r="I28" i="1"/>
  <c r="I151" i="1"/>
  <c r="I107" i="1"/>
  <c r="I177" i="1"/>
  <c r="I40" i="1"/>
  <c r="I39" i="1"/>
  <c r="I173" i="1"/>
  <c r="I100" i="1"/>
  <c r="I133" i="1"/>
  <c r="I114" i="1"/>
  <c r="I44" i="1"/>
  <c r="I3" i="1"/>
  <c r="I58" i="1"/>
  <c r="I174" i="1"/>
  <c r="I2" i="1"/>
  <c r="I163" i="1"/>
  <c r="I117" i="1"/>
  <c r="I186" i="1"/>
  <c r="I168" i="1"/>
  <c r="I103" i="1"/>
  <c r="I62" i="1"/>
  <c r="I155" i="1"/>
  <c r="I165" i="1"/>
  <c r="I162" i="1"/>
  <c r="I67" i="1"/>
  <c r="I77" i="1"/>
  <c r="I41" i="1"/>
  <c r="I65" i="1"/>
  <c r="I123" i="1"/>
  <c r="I126" i="1"/>
  <c r="I83" i="1"/>
  <c r="I113" i="1"/>
  <c r="I184" i="1"/>
  <c r="I56" i="1"/>
  <c r="I187" i="1"/>
  <c r="I50" i="1"/>
  <c r="I190" i="1"/>
  <c r="I25" i="1"/>
  <c r="I45" i="1"/>
  <c r="I93" i="1"/>
  <c r="I95" i="1"/>
  <c r="I175" i="1"/>
  <c r="I20" i="1"/>
  <c r="I9" i="1"/>
  <c r="I179" i="1"/>
  <c r="I127" i="1"/>
  <c r="I80" i="1"/>
  <c r="I148" i="1"/>
  <c r="I6" i="1"/>
  <c r="I33" i="1"/>
  <c r="I16" i="1"/>
  <c r="I48" i="1"/>
  <c r="I196" i="1"/>
  <c r="I52" i="1"/>
  <c r="I171" i="1"/>
  <c r="I22" i="1"/>
  <c r="I75" i="1"/>
  <c r="I51" i="1"/>
  <c r="I112" i="1"/>
  <c r="I160" i="1"/>
  <c r="I12" i="1"/>
  <c r="I35" i="1"/>
  <c r="I138" i="1"/>
  <c r="I32" i="1"/>
  <c r="I157" i="1"/>
  <c r="I88" i="1"/>
  <c r="I42" i="1"/>
  <c r="I146" i="1"/>
  <c r="I91" i="1"/>
  <c r="I19" i="1"/>
  <c r="I199" i="1"/>
  <c r="I89" i="1"/>
  <c r="I147" i="1"/>
  <c r="I111" i="1"/>
  <c r="I11" i="1"/>
  <c r="I85" i="1"/>
  <c r="I176" i="1"/>
  <c r="I194" i="1"/>
  <c r="I17" i="1"/>
  <c r="I24" i="1"/>
  <c r="I167" i="1"/>
  <c r="I108" i="1"/>
  <c r="I149" i="1"/>
  <c r="I188" i="1"/>
  <c r="I105" i="1"/>
  <c r="I60" i="1"/>
  <c r="I152" i="1"/>
  <c r="I183" i="1"/>
  <c r="I180" i="1"/>
  <c r="I124" i="1"/>
  <c r="I145" i="1"/>
  <c r="I81" i="1"/>
  <c r="I36" i="1"/>
  <c r="I143" i="1"/>
  <c r="I140" i="1"/>
  <c r="I26" i="1"/>
  <c r="I118" i="1"/>
  <c r="I193" i="1"/>
  <c r="I13" i="1"/>
  <c r="I130" i="1"/>
  <c r="I131" i="1"/>
  <c r="I34" i="1"/>
  <c r="I14" i="1"/>
  <c r="I98" i="1"/>
  <c r="I135" i="1"/>
  <c r="I132" i="1"/>
  <c r="I92" i="1"/>
  <c r="I125" i="1"/>
  <c r="I53" i="1"/>
  <c r="I76" i="1"/>
  <c r="I18" i="1"/>
  <c r="I198" i="1"/>
  <c r="I47" i="1"/>
  <c r="I192" i="1"/>
  <c r="I71" i="1"/>
  <c r="I109" i="1"/>
  <c r="I189" i="1"/>
  <c r="I166" i="1"/>
  <c r="I116" i="1"/>
  <c r="I136" i="1"/>
  <c r="I161" i="1"/>
  <c r="I7" i="1"/>
  <c r="I104" i="1"/>
  <c r="I23" i="1"/>
  <c r="I37" i="1"/>
  <c r="I164" i="1"/>
  <c r="I27" i="1"/>
  <c r="I61" i="1"/>
  <c r="E141" i="1"/>
  <c r="E181" i="1"/>
  <c r="E79" i="1"/>
  <c r="E102" i="1"/>
  <c r="E38" i="1"/>
  <c r="E82" i="1"/>
  <c r="E59" i="1"/>
  <c r="E200" i="1"/>
  <c r="E94" i="1"/>
  <c r="E182" i="1"/>
  <c r="E153" i="1"/>
  <c r="E87" i="1"/>
  <c r="E128" i="1"/>
  <c r="E142" i="1"/>
  <c r="E31" i="1"/>
  <c r="E101" i="1"/>
  <c r="E158" i="1"/>
  <c r="E69" i="1"/>
  <c r="E84" i="1"/>
  <c r="E201" i="1"/>
  <c r="E10" i="1"/>
  <c r="E72" i="1"/>
  <c r="E150" i="1"/>
  <c r="E78" i="1"/>
  <c r="E49" i="1"/>
  <c r="E144" i="1"/>
  <c r="E156" i="1"/>
  <c r="E172" i="1"/>
  <c r="E63" i="1"/>
  <c r="E70" i="1"/>
  <c r="E96" i="1"/>
  <c r="E29" i="1"/>
  <c r="E57" i="1"/>
  <c r="E21" i="1"/>
  <c r="E119" i="1"/>
  <c r="E120" i="1"/>
  <c r="E15" i="1"/>
  <c r="E54" i="1"/>
  <c r="E43" i="1"/>
  <c r="E90" i="1"/>
  <c r="E99" i="1"/>
  <c r="E191" i="1"/>
  <c r="E64" i="1"/>
  <c r="E139" i="1"/>
  <c r="E178" i="1"/>
  <c r="E121" i="1"/>
  <c r="E122" i="1"/>
  <c r="E129" i="1"/>
  <c r="E30" i="1"/>
  <c r="E137" i="1"/>
  <c r="E159" i="1"/>
  <c r="E134" i="1"/>
  <c r="E170" i="1"/>
  <c r="E8" i="1"/>
  <c r="E97" i="1"/>
  <c r="E66" i="1"/>
  <c r="E86" i="1"/>
  <c r="E55" i="1"/>
  <c r="E110" i="1"/>
  <c r="E154" i="1"/>
  <c r="E4" i="1"/>
  <c r="E73" i="1"/>
  <c r="E169" i="1"/>
  <c r="E74" i="1"/>
  <c r="E46" i="1"/>
  <c r="E68" i="1"/>
  <c r="E195" i="1"/>
  <c r="E115" i="1"/>
  <c r="E106" i="1"/>
  <c r="E185" i="1"/>
  <c r="E197" i="1"/>
  <c r="E5" i="1"/>
  <c r="E28" i="1"/>
  <c r="E151" i="1"/>
  <c r="E107" i="1"/>
  <c r="E177" i="1"/>
  <c r="E40" i="1"/>
  <c r="E39" i="1"/>
  <c r="E173" i="1"/>
  <c r="E100" i="1"/>
  <c r="E133" i="1"/>
  <c r="E114" i="1"/>
  <c r="E44" i="1"/>
  <c r="E3" i="1"/>
  <c r="E58" i="1"/>
  <c r="E174" i="1"/>
  <c r="E2" i="1"/>
  <c r="E163" i="1"/>
  <c r="E117" i="1"/>
  <c r="E186" i="1"/>
  <c r="E168" i="1"/>
  <c r="E103" i="1"/>
  <c r="E62" i="1"/>
  <c r="E155" i="1"/>
  <c r="E165" i="1"/>
  <c r="E162" i="1"/>
  <c r="E67" i="1"/>
  <c r="E77" i="1"/>
  <c r="E41" i="1"/>
  <c r="E65" i="1"/>
  <c r="E123" i="1"/>
  <c r="E126" i="1"/>
  <c r="E83" i="1"/>
  <c r="E113" i="1"/>
  <c r="E184" i="1"/>
  <c r="E56" i="1"/>
  <c r="E187" i="1"/>
  <c r="E50" i="1"/>
  <c r="E190" i="1"/>
  <c r="E25" i="1"/>
  <c r="E45" i="1"/>
  <c r="E93" i="1"/>
  <c r="E95" i="1"/>
  <c r="E175" i="1"/>
  <c r="E20" i="1"/>
  <c r="E9" i="1"/>
  <c r="E179" i="1"/>
  <c r="E127" i="1"/>
  <c r="E80" i="1"/>
  <c r="E148" i="1"/>
  <c r="E6" i="1"/>
  <c r="E33" i="1"/>
  <c r="E16" i="1"/>
  <c r="E48" i="1"/>
  <c r="E196" i="1"/>
  <c r="E52" i="1"/>
  <c r="E171" i="1"/>
  <c r="E22" i="1"/>
  <c r="E75" i="1"/>
  <c r="E51" i="1"/>
  <c r="E112" i="1"/>
  <c r="E160" i="1"/>
  <c r="E12" i="1"/>
  <c r="E35" i="1"/>
  <c r="E138" i="1"/>
  <c r="E32" i="1"/>
  <c r="E157" i="1"/>
  <c r="E88" i="1"/>
  <c r="E42" i="1"/>
  <c r="E146" i="1"/>
  <c r="E91" i="1"/>
  <c r="E19" i="1"/>
  <c r="E199" i="1"/>
  <c r="E89" i="1"/>
  <c r="E147" i="1"/>
  <c r="E111" i="1"/>
  <c r="E11" i="1"/>
  <c r="E85" i="1"/>
  <c r="E176" i="1"/>
  <c r="E194" i="1"/>
  <c r="E17" i="1"/>
  <c r="E24" i="1"/>
  <c r="E167" i="1"/>
  <c r="E108" i="1"/>
  <c r="E149" i="1"/>
  <c r="E188" i="1"/>
  <c r="E105" i="1"/>
  <c r="E60" i="1"/>
  <c r="E152" i="1"/>
  <c r="E183" i="1"/>
  <c r="E180" i="1"/>
  <c r="E124" i="1"/>
  <c r="E145" i="1"/>
  <c r="E81" i="1"/>
  <c r="E36" i="1"/>
  <c r="E143" i="1"/>
  <c r="E140" i="1"/>
  <c r="E26" i="1"/>
  <c r="E118" i="1"/>
  <c r="E193" i="1"/>
  <c r="E13" i="1"/>
  <c r="E130" i="1"/>
  <c r="E131" i="1"/>
  <c r="E34" i="1"/>
  <c r="E14" i="1"/>
  <c r="E98" i="1"/>
  <c r="E135" i="1"/>
  <c r="E132" i="1"/>
  <c r="E92" i="1"/>
  <c r="E125" i="1"/>
  <c r="E53" i="1"/>
  <c r="E76" i="1"/>
  <c r="E18" i="1"/>
  <c r="E198" i="1"/>
  <c r="E47" i="1"/>
  <c r="E192" i="1"/>
  <c r="E71" i="1"/>
  <c r="E109" i="1"/>
  <c r="E189" i="1"/>
  <c r="E166" i="1"/>
  <c r="E116" i="1"/>
  <c r="E136" i="1"/>
  <c r="E161" i="1"/>
  <c r="E7" i="1"/>
  <c r="E104" i="1"/>
  <c r="E23" i="1"/>
  <c r="E37" i="1"/>
  <c r="E164" i="1"/>
  <c r="E27" i="1"/>
  <c r="E61" i="1"/>
  <c r="H141" i="1"/>
  <c r="H181" i="1"/>
  <c r="H79" i="1"/>
  <c r="H102" i="1"/>
  <c r="H38" i="1"/>
  <c r="H82" i="1"/>
  <c r="H59" i="1"/>
  <c r="H200" i="1"/>
  <c r="H94" i="1"/>
  <c r="H182" i="1"/>
  <c r="H153" i="1"/>
  <c r="H87" i="1"/>
  <c r="H128" i="1"/>
  <c r="H142" i="1"/>
  <c r="H31" i="1"/>
  <c r="H101" i="1"/>
  <c r="H158" i="1"/>
  <c r="H69" i="1"/>
  <c r="H84" i="1"/>
  <c r="H201" i="1"/>
  <c r="H10" i="1"/>
  <c r="H72" i="1"/>
  <c r="H150" i="1"/>
  <c r="H78" i="1"/>
  <c r="H49" i="1"/>
  <c r="H144" i="1"/>
  <c r="H156" i="1"/>
  <c r="H172" i="1"/>
  <c r="H63" i="1"/>
  <c r="H70" i="1"/>
  <c r="H96" i="1"/>
  <c r="H29" i="1"/>
  <c r="H57" i="1"/>
  <c r="H21" i="1"/>
  <c r="H119" i="1"/>
  <c r="H120" i="1"/>
  <c r="H15" i="1"/>
  <c r="H54" i="1"/>
  <c r="H43" i="1"/>
  <c r="H90" i="1"/>
  <c r="H99" i="1"/>
  <c r="H191" i="1"/>
  <c r="H64" i="1"/>
  <c r="H139" i="1"/>
  <c r="H178" i="1"/>
  <c r="H121" i="1"/>
  <c r="H122" i="1"/>
  <c r="H129" i="1"/>
  <c r="H30" i="1"/>
  <c r="H137" i="1"/>
  <c r="H159" i="1"/>
  <c r="H134" i="1"/>
  <c r="H170" i="1"/>
  <c r="H8" i="1"/>
  <c r="H97" i="1"/>
  <c r="H66" i="1"/>
  <c r="H86" i="1"/>
  <c r="H55" i="1"/>
  <c r="H110" i="1"/>
  <c r="H154" i="1"/>
  <c r="H4" i="1"/>
  <c r="H73" i="1"/>
  <c r="H169" i="1"/>
  <c r="H74" i="1"/>
  <c r="H46" i="1"/>
  <c r="H68" i="1"/>
  <c r="H195" i="1"/>
  <c r="H115" i="1"/>
  <c r="H106" i="1"/>
  <c r="H185" i="1"/>
  <c r="H197" i="1"/>
  <c r="H5" i="1"/>
  <c r="H28" i="1"/>
  <c r="H151" i="1"/>
  <c r="H107" i="1"/>
  <c r="H177" i="1"/>
  <c r="H40" i="1"/>
  <c r="H39" i="1"/>
  <c r="H173" i="1"/>
  <c r="H100" i="1"/>
  <c r="H133" i="1"/>
  <c r="H114" i="1"/>
  <c r="H44" i="1"/>
  <c r="H3" i="1"/>
  <c r="H58" i="1"/>
  <c r="H174" i="1"/>
  <c r="H2" i="1"/>
  <c r="H163" i="1"/>
  <c r="H117" i="1"/>
  <c r="H186" i="1"/>
  <c r="H168" i="1"/>
  <c r="H103" i="1"/>
  <c r="H62" i="1"/>
  <c r="H155" i="1"/>
  <c r="H165" i="1"/>
  <c r="H162" i="1"/>
  <c r="H67" i="1"/>
  <c r="H77" i="1"/>
  <c r="H41" i="1"/>
  <c r="H65" i="1"/>
  <c r="H123" i="1"/>
  <c r="H126" i="1"/>
  <c r="H83" i="1"/>
  <c r="H113" i="1"/>
  <c r="H184" i="1"/>
  <c r="H56" i="1"/>
  <c r="H187" i="1"/>
  <c r="H50" i="1"/>
  <c r="H190" i="1"/>
  <c r="H25" i="1"/>
  <c r="H45" i="1"/>
  <c r="H93" i="1"/>
  <c r="H95" i="1"/>
  <c r="H175" i="1"/>
  <c r="H20" i="1"/>
  <c r="H9" i="1"/>
  <c r="H179" i="1"/>
  <c r="H127" i="1"/>
  <c r="H80" i="1"/>
  <c r="H148" i="1"/>
  <c r="H6" i="1"/>
  <c r="H33" i="1"/>
  <c r="H16" i="1"/>
  <c r="H48" i="1"/>
  <c r="H196" i="1"/>
  <c r="H52" i="1"/>
  <c r="H171" i="1"/>
  <c r="H22" i="1"/>
  <c r="H75" i="1"/>
  <c r="H51" i="1"/>
  <c r="H112" i="1"/>
  <c r="H160" i="1"/>
  <c r="H12" i="1"/>
  <c r="H35" i="1"/>
  <c r="H138" i="1"/>
  <c r="H32" i="1"/>
  <c r="H157" i="1"/>
  <c r="H88" i="1"/>
  <c r="H42" i="1"/>
  <c r="H146" i="1"/>
  <c r="H91" i="1"/>
  <c r="H19" i="1"/>
  <c r="H199" i="1"/>
  <c r="H89" i="1"/>
  <c r="H147" i="1"/>
  <c r="H111" i="1"/>
  <c r="H11" i="1"/>
  <c r="H85" i="1"/>
  <c r="H176" i="1"/>
  <c r="H194" i="1"/>
  <c r="H17" i="1"/>
  <c r="H24" i="1"/>
  <c r="H167" i="1"/>
  <c r="H108" i="1"/>
  <c r="H149" i="1"/>
  <c r="H188" i="1"/>
  <c r="H105" i="1"/>
  <c r="H60" i="1"/>
  <c r="H152" i="1"/>
  <c r="H183" i="1"/>
  <c r="H180" i="1"/>
  <c r="H124" i="1"/>
  <c r="H145" i="1"/>
  <c r="H81" i="1"/>
  <c r="H36" i="1"/>
  <c r="H143" i="1"/>
  <c r="H140" i="1"/>
  <c r="H26" i="1"/>
  <c r="H118" i="1"/>
  <c r="H193" i="1"/>
  <c r="H13" i="1"/>
  <c r="H130" i="1"/>
  <c r="H131" i="1"/>
  <c r="H34" i="1"/>
  <c r="H14" i="1"/>
  <c r="H98" i="1"/>
  <c r="H135" i="1"/>
  <c r="H132" i="1"/>
  <c r="H92" i="1"/>
  <c r="H125" i="1"/>
  <c r="H53" i="1"/>
  <c r="H76" i="1"/>
  <c r="H18" i="1"/>
  <c r="H198" i="1"/>
  <c r="H47" i="1"/>
  <c r="H192" i="1"/>
  <c r="H71" i="1"/>
  <c r="H109" i="1"/>
  <c r="H189" i="1"/>
  <c r="H166" i="1"/>
  <c r="H116" i="1"/>
  <c r="H136" i="1"/>
  <c r="H161" i="1"/>
  <c r="H7" i="1"/>
  <c r="H104" i="1"/>
  <c r="H23" i="1"/>
  <c r="H37" i="1"/>
  <c r="H164" i="1"/>
  <c r="H27" i="1"/>
  <c r="H61" i="1"/>
  <c r="N141" i="1"/>
  <c r="N181" i="1"/>
  <c r="N79" i="1"/>
  <c r="N102" i="1"/>
  <c r="N38" i="1"/>
  <c r="N82" i="1"/>
  <c r="N59" i="1"/>
  <c r="N200" i="1"/>
  <c r="N94" i="1"/>
  <c r="N182" i="1"/>
  <c r="N153" i="1"/>
  <c r="N87" i="1"/>
  <c r="N128" i="1"/>
  <c r="N142" i="1"/>
  <c r="N31" i="1"/>
  <c r="N101" i="1"/>
  <c r="N158" i="1"/>
  <c r="N69" i="1"/>
  <c r="N84" i="1"/>
  <c r="N201" i="1"/>
  <c r="N10" i="1"/>
  <c r="N72" i="1"/>
  <c r="N150" i="1"/>
  <c r="N78" i="1"/>
  <c r="N49" i="1"/>
  <c r="N144" i="1"/>
  <c r="N156" i="1"/>
  <c r="N172" i="1"/>
  <c r="N63" i="1"/>
  <c r="N70" i="1"/>
  <c r="N96" i="1"/>
  <c r="N29" i="1"/>
  <c r="N57" i="1"/>
  <c r="N21" i="1"/>
  <c r="N119" i="1"/>
  <c r="N120" i="1"/>
  <c r="N15" i="1"/>
  <c r="N54" i="1"/>
  <c r="N43" i="1"/>
  <c r="N90" i="1"/>
  <c r="N99" i="1"/>
  <c r="N191" i="1"/>
  <c r="N64" i="1"/>
  <c r="N139" i="1"/>
  <c r="N178" i="1"/>
  <c r="N121" i="1"/>
  <c r="N122" i="1"/>
  <c r="N129" i="1"/>
  <c r="N30" i="1"/>
  <c r="N137" i="1"/>
  <c r="N159" i="1"/>
  <c r="N134" i="1"/>
  <c r="N170" i="1"/>
  <c r="N8" i="1"/>
  <c r="N97" i="1"/>
  <c r="N66" i="1"/>
  <c r="N86" i="1"/>
  <c r="N55" i="1"/>
  <c r="N110" i="1"/>
  <c r="N154" i="1"/>
  <c r="N4" i="1"/>
  <c r="N73" i="1"/>
  <c r="N169" i="1"/>
  <c r="N74" i="1"/>
  <c r="N46" i="1"/>
  <c r="N68" i="1"/>
  <c r="N195" i="1"/>
  <c r="N115" i="1"/>
  <c r="N106" i="1"/>
  <c r="N185" i="1"/>
  <c r="N197" i="1"/>
  <c r="N5" i="1"/>
  <c r="N28" i="1"/>
  <c r="N151" i="1"/>
  <c r="N107" i="1"/>
  <c r="N177" i="1"/>
  <c r="N40" i="1"/>
  <c r="N39" i="1"/>
  <c r="N173" i="1"/>
  <c r="N100" i="1"/>
  <c r="N133" i="1"/>
  <c r="N114" i="1"/>
  <c r="N44" i="1"/>
  <c r="N3" i="1"/>
  <c r="N58" i="1"/>
  <c r="N174" i="1"/>
  <c r="N2" i="1"/>
  <c r="N163" i="1"/>
  <c r="N117" i="1"/>
  <c r="N186" i="1"/>
  <c r="N168" i="1"/>
  <c r="N103" i="1"/>
  <c r="N62" i="1"/>
  <c r="N155" i="1"/>
  <c r="N165" i="1"/>
  <c r="N162" i="1"/>
  <c r="N67" i="1"/>
  <c r="N77" i="1"/>
  <c r="N41" i="1"/>
  <c r="N65" i="1"/>
  <c r="N123" i="1"/>
  <c r="N126" i="1"/>
  <c r="N83" i="1"/>
  <c r="N113" i="1"/>
  <c r="N184" i="1"/>
  <c r="N56" i="1"/>
  <c r="N187" i="1"/>
  <c r="N50" i="1"/>
  <c r="N190" i="1"/>
  <c r="N25" i="1"/>
  <c r="N45" i="1"/>
  <c r="N93" i="1"/>
  <c r="N95" i="1"/>
  <c r="N175" i="1"/>
  <c r="N20" i="1"/>
  <c r="N9" i="1"/>
  <c r="N179" i="1"/>
  <c r="N127" i="1"/>
  <c r="N80" i="1"/>
  <c r="N148" i="1"/>
  <c r="N6" i="1"/>
  <c r="N33" i="1"/>
  <c r="N16" i="1"/>
  <c r="N48" i="1"/>
  <c r="N196" i="1"/>
  <c r="N52" i="1"/>
  <c r="N171" i="1"/>
  <c r="N22" i="1"/>
  <c r="N75" i="1"/>
  <c r="N51" i="1"/>
  <c r="N112" i="1"/>
  <c r="N160" i="1"/>
  <c r="N12" i="1"/>
  <c r="N35" i="1"/>
  <c r="N138" i="1"/>
  <c r="N32" i="1"/>
  <c r="N157" i="1"/>
  <c r="N88" i="1"/>
  <c r="N42" i="1"/>
  <c r="N146" i="1"/>
  <c r="N91" i="1"/>
  <c r="N19" i="1"/>
  <c r="N199" i="1"/>
  <c r="N89" i="1"/>
  <c r="N147" i="1"/>
  <c r="N111" i="1"/>
  <c r="N11" i="1"/>
  <c r="N85" i="1"/>
  <c r="N176" i="1"/>
  <c r="N194" i="1"/>
  <c r="N17" i="1"/>
  <c r="N24" i="1"/>
  <c r="N167" i="1"/>
  <c r="N108" i="1"/>
  <c r="N149" i="1"/>
  <c r="N188" i="1"/>
  <c r="N105" i="1"/>
  <c r="N60" i="1"/>
  <c r="N152" i="1"/>
  <c r="N183" i="1"/>
  <c r="N180" i="1"/>
  <c r="N124" i="1"/>
  <c r="N145" i="1"/>
  <c r="N81" i="1"/>
  <c r="N36" i="1"/>
  <c r="N143" i="1"/>
  <c r="N140" i="1"/>
  <c r="N26" i="1"/>
  <c r="N118" i="1"/>
  <c r="N193" i="1"/>
  <c r="N13" i="1"/>
  <c r="N130" i="1"/>
  <c r="N131" i="1"/>
  <c r="N34" i="1"/>
  <c r="N14" i="1"/>
  <c r="N98" i="1"/>
  <c r="N135" i="1"/>
  <c r="N132" i="1"/>
  <c r="N92" i="1"/>
  <c r="N125" i="1"/>
  <c r="N53" i="1"/>
  <c r="N76" i="1"/>
  <c r="N18" i="1"/>
  <c r="N198" i="1"/>
  <c r="N47" i="1"/>
  <c r="N192" i="1"/>
  <c r="N71" i="1"/>
  <c r="N109" i="1"/>
  <c r="N189" i="1"/>
  <c r="N166" i="1"/>
  <c r="N116" i="1"/>
  <c r="N136" i="1"/>
  <c r="N161" i="1"/>
  <c r="N7" i="1"/>
  <c r="N104" i="1"/>
  <c r="N23" i="1"/>
  <c r="N37" i="1"/>
  <c r="N164" i="1"/>
  <c r="N27" i="1"/>
  <c r="N61" i="1"/>
  <c r="S2" i="1"/>
  <c r="W2" i="1"/>
  <c r="V2" i="1"/>
  <c r="U2" i="1"/>
  <c r="T2" i="1"/>
  <c r="R2" i="1"/>
  <c r="K141" i="1"/>
  <c r="J141" i="1"/>
  <c r="K181" i="1"/>
  <c r="K79" i="1"/>
  <c r="K102" i="1"/>
  <c r="K38" i="1"/>
  <c r="K82" i="1"/>
  <c r="K59" i="1"/>
  <c r="K200" i="1"/>
  <c r="K94" i="1"/>
  <c r="K182" i="1"/>
  <c r="K153" i="1"/>
  <c r="K87" i="1"/>
  <c r="K128" i="1"/>
  <c r="K142" i="1"/>
  <c r="K31" i="1"/>
  <c r="K101" i="1"/>
  <c r="K158" i="1"/>
  <c r="K69" i="1"/>
  <c r="K84" i="1"/>
  <c r="K201" i="1"/>
  <c r="K10" i="1"/>
  <c r="K72" i="1"/>
  <c r="K150" i="1"/>
  <c r="K78" i="1"/>
  <c r="K49" i="1"/>
  <c r="K144" i="1"/>
  <c r="K156" i="1"/>
  <c r="K172" i="1"/>
  <c r="K63" i="1"/>
  <c r="K70" i="1"/>
  <c r="K96" i="1"/>
  <c r="K29" i="1"/>
  <c r="K57" i="1"/>
  <c r="K21" i="1"/>
  <c r="K119" i="1"/>
  <c r="K120" i="1"/>
  <c r="K15" i="1"/>
  <c r="K54" i="1"/>
  <c r="K43" i="1"/>
  <c r="K90" i="1"/>
  <c r="K99" i="1"/>
  <c r="K191" i="1"/>
  <c r="K64" i="1"/>
  <c r="K139" i="1"/>
  <c r="K178" i="1"/>
  <c r="K121" i="1"/>
  <c r="K122" i="1"/>
  <c r="K129" i="1"/>
  <c r="K30" i="1"/>
  <c r="K137" i="1"/>
  <c r="K159" i="1"/>
  <c r="K134" i="1"/>
  <c r="K170" i="1"/>
  <c r="K8" i="1"/>
  <c r="K97" i="1"/>
  <c r="K66" i="1"/>
  <c r="K86" i="1"/>
  <c r="K55" i="1"/>
  <c r="K110" i="1"/>
  <c r="K154" i="1"/>
  <c r="K4" i="1"/>
  <c r="K73" i="1"/>
  <c r="K169" i="1"/>
  <c r="K74" i="1"/>
  <c r="K46" i="1"/>
  <c r="K68" i="1"/>
  <c r="K195" i="1"/>
  <c r="K115" i="1"/>
  <c r="K106" i="1"/>
  <c r="K185" i="1"/>
  <c r="K197" i="1"/>
  <c r="K5" i="1"/>
  <c r="K28" i="1"/>
  <c r="K151" i="1"/>
  <c r="K107" i="1"/>
  <c r="K177" i="1"/>
  <c r="K40" i="1"/>
  <c r="K39" i="1"/>
  <c r="K173" i="1"/>
  <c r="K100" i="1"/>
  <c r="K133" i="1"/>
  <c r="K114" i="1"/>
  <c r="K44" i="1"/>
  <c r="K3" i="1"/>
  <c r="K58" i="1"/>
  <c r="K174" i="1"/>
  <c r="K2" i="1"/>
  <c r="K163" i="1"/>
  <c r="K117" i="1"/>
  <c r="K186" i="1"/>
  <c r="K168" i="1"/>
  <c r="K103" i="1"/>
  <c r="K62" i="1"/>
  <c r="K155" i="1"/>
  <c r="K165" i="1"/>
  <c r="K162" i="1"/>
  <c r="K67" i="1"/>
  <c r="K77" i="1"/>
  <c r="K41" i="1"/>
  <c r="K65" i="1"/>
  <c r="K123" i="1"/>
  <c r="K126" i="1"/>
  <c r="K83" i="1"/>
  <c r="K113" i="1"/>
  <c r="K184" i="1"/>
  <c r="K56" i="1"/>
  <c r="K187" i="1"/>
  <c r="K50" i="1"/>
  <c r="K190" i="1"/>
  <c r="K25" i="1"/>
  <c r="K45" i="1"/>
  <c r="K93" i="1"/>
  <c r="K95" i="1"/>
  <c r="K175" i="1"/>
  <c r="K20" i="1"/>
  <c r="K9" i="1"/>
  <c r="K179" i="1"/>
  <c r="K127" i="1"/>
  <c r="K80" i="1"/>
  <c r="K148" i="1"/>
  <c r="K6" i="1"/>
  <c r="K33" i="1"/>
  <c r="K16" i="1"/>
  <c r="K48" i="1"/>
  <c r="K196" i="1"/>
  <c r="K52" i="1"/>
  <c r="K171" i="1"/>
  <c r="K22" i="1"/>
  <c r="K75" i="1"/>
  <c r="K51" i="1"/>
  <c r="K112" i="1"/>
  <c r="K160" i="1"/>
  <c r="K12" i="1"/>
  <c r="K35" i="1"/>
  <c r="K138" i="1"/>
  <c r="K32" i="1"/>
  <c r="K157" i="1"/>
  <c r="K88" i="1"/>
  <c r="K42" i="1"/>
  <c r="K146" i="1"/>
  <c r="K91" i="1"/>
  <c r="K19" i="1"/>
  <c r="K199" i="1"/>
  <c r="K89" i="1"/>
  <c r="K147" i="1"/>
  <c r="K111" i="1"/>
  <c r="K11" i="1"/>
  <c r="K85" i="1"/>
  <c r="K176" i="1"/>
  <c r="K194" i="1"/>
  <c r="K17" i="1"/>
  <c r="K24" i="1"/>
  <c r="K167" i="1"/>
  <c r="K108" i="1"/>
  <c r="K149" i="1"/>
  <c r="K188" i="1"/>
  <c r="K105" i="1"/>
  <c r="K60" i="1"/>
  <c r="K152" i="1"/>
  <c r="K183" i="1"/>
  <c r="K180" i="1"/>
  <c r="K124" i="1"/>
  <c r="K145" i="1"/>
  <c r="K81" i="1"/>
  <c r="K36" i="1"/>
  <c r="K143" i="1"/>
  <c r="K140" i="1"/>
  <c r="K26" i="1"/>
  <c r="K118" i="1"/>
  <c r="K193" i="1"/>
  <c r="K13" i="1"/>
  <c r="K130" i="1"/>
  <c r="K131" i="1"/>
  <c r="K34" i="1"/>
  <c r="K14" i="1"/>
  <c r="K98" i="1"/>
  <c r="K135" i="1"/>
  <c r="K132" i="1"/>
  <c r="K92" i="1"/>
  <c r="K125" i="1"/>
  <c r="K53" i="1"/>
  <c r="K76" i="1"/>
  <c r="K18" i="1"/>
  <c r="K198" i="1"/>
  <c r="K47" i="1"/>
  <c r="K192" i="1"/>
  <c r="K71" i="1"/>
  <c r="K109" i="1"/>
  <c r="K189" i="1"/>
  <c r="K166" i="1"/>
  <c r="K116" i="1"/>
  <c r="K136" i="1"/>
  <c r="K161" i="1"/>
  <c r="K7" i="1"/>
  <c r="K104" i="1"/>
  <c r="K23" i="1"/>
  <c r="K37" i="1"/>
  <c r="K164" i="1"/>
  <c r="K27" i="1"/>
  <c r="K61" i="1"/>
  <c r="J181" i="1"/>
  <c r="L181" i="1" s="1"/>
  <c r="J79" i="1"/>
  <c r="J102" i="1"/>
  <c r="L102" i="1" s="1"/>
  <c r="J38" i="1"/>
  <c r="J82" i="1"/>
  <c r="J59" i="1"/>
  <c r="J200" i="1"/>
  <c r="J94" i="1"/>
  <c r="L94" i="1" s="1"/>
  <c r="J182" i="1"/>
  <c r="L182" i="1" s="1"/>
  <c r="J153" i="1"/>
  <c r="L153" i="1" s="1"/>
  <c r="J87" i="1"/>
  <c r="L87" i="1" s="1"/>
  <c r="J128" i="1"/>
  <c r="J142" i="1"/>
  <c r="J31" i="1"/>
  <c r="J101" i="1"/>
  <c r="J158" i="1"/>
  <c r="L158" i="1" s="1"/>
  <c r="J69" i="1"/>
  <c r="L69" i="1" s="1"/>
  <c r="J84" i="1"/>
  <c r="L84" i="1" s="1"/>
  <c r="J201" i="1"/>
  <c r="L201" i="1" s="1"/>
  <c r="J10" i="1"/>
  <c r="J72" i="1"/>
  <c r="J150" i="1"/>
  <c r="J78" i="1"/>
  <c r="J49" i="1"/>
  <c r="L49" i="1" s="1"/>
  <c r="J144" i="1"/>
  <c r="L144" i="1" s="1"/>
  <c r="J156" i="1"/>
  <c r="J172" i="1"/>
  <c r="L172" i="1" s="1"/>
  <c r="J63" i="1"/>
  <c r="L63" i="1" s="1"/>
  <c r="J70" i="1"/>
  <c r="J96" i="1"/>
  <c r="J29" i="1"/>
  <c r="J57" i="1"/>
  <c r="L57" i="1" s="1"/>
  <c r="J21" i="1"/>
  <c r="L21" i="1" s="1"/>
  <c r="J119" i="1"/>
  <c r="L119" i="1" s="1"/>
  <c r="J120" i="1"/>
  <c r="L120" i="1" s="1"/>
  <c r="J15" i="1"/>
  <c r="J54" i="1"/>
  <c r="J43" i="1"/>
  <c r="J90" i="1"/>
  <c r="J99" i="1"/>
  <c r="L99" i="1" s="1"/>
  <c r="J191" i="1"/>
  <c r="L191" i="1" s="1"/>
  <c r="J64" i="1"/>
  <c r="L64" i="1" s="1"/>
  <c r="J139" i="1"/>
  <c r="L139" i="1" s="1"/>
  <c r="J178" i="1"/>
  <c r="J121" i="1"/>
  <c r="J122" i="1"/>
  <c r="J129" i="1"/>
  <c r="J30" i="1"/>
  <c r="L30" i="1" s="1"/>
  <c r="J137" i="1"/>
  <c r="L137" i="1" s="1"/>
  <c r="J159" i="1"/>
  <c r="L159" i="1" s="1"/>
  <c r="J134" i="1"/>
  <c r="L134" i="1" s="1"/>
  <c r="J170" i="1"/>
  <c r="J8" i="1"/>
  <c r="J97" i="1"/>
  <c r="J66" i="1"/>
  <c r="J86" i="1"/>
  <c r="L86" i="1" s="1"/>
  <c r="J55" i="1"/>
  <c r="L55" i="1" s="1"/>
  <c r="J110" i="1"/>
  <c r="L110" i="1" s="1"/>
  <c r="J154" i="1"/>
  <c r="L154" i="1" s="1"/>
  <c r="J4" i="1"/>
  <c r="M4" i="29" s="1"/>
  <c r="J73" i="1"/>
  <c r="M73" i="1" s="1"/>
  <c r="J169" i="1"/>
  <c r="J74" i="1"/>
  <c r="M74" i="1" s="1"/>
  <c r="J46" i="1"/>
  <c r="L46" i="1" s="1"/>
  <c r="J68" i="1"/>
  <c r="L68" i="1" s="1"/>
  <c r="J195" i="1"/>
  <c r="J115" i="1"/>
  <c r="L115" i="1" s="1"/>
  <c r="J106" i="1"/>
  <c r="J185" i="1"/>
  <c r="J197" i="1"/>
  <c r="J5" i="1"/>
  <c r="M5" i="29" s="1"/>
  <c r="J28" i="1"/>
  <c r="L28" i="1" s="1"/>
  <c r="J151" i="1"/>
  <c r="L151" i="1" s="1"/>
  <c r="J107" i="1"/>
  <c r="L107" i="1" s="1"/>
  <c r="J177" i="1"/>
  <c r="L177" i="1" s="1"/>
  <c r="J40" i="1"/>
  <c r="J39" i="1"/>
  <c r="J173" i="1"/>
  <c r="J100" i="1"/>
  <c r="J133" i="1"/>
  <c r="L133" i="1" s="1"/>
  <c r="J114" i="1"/>
  <c r="L114" i="1" s="1"/>
  <c r="J44" i="1"/>
  <c r="L44" i="1" s="1"/>
  <c r="J3" i="1"/>
  <c r="L3" i="1" s="1"/>
  <c r="J58" i="1"/>
  <c r="J174" i="1"/>
  <c r="J2" i="1"/>
  <c r="M2" i="29" s="1"/>
  <c r="J163" i="1"/>
  <c r="J117" i="1"/>
  <c r="L117" i="1" s="1"/>
  <c r="J186" i="1"/>
  <c r="L186" i="1" s="1"/>
  <c r="J168" i="1"/>
  <c r="J103" i="1"/>
  <c r="J62" i="1"/>
  <c r="J155" i="1"/>
  <c r="M155" i="1" s="1"/>
  <c r="J165" i="1"/>
  <c r="J162" i="1"/>
  <c r="J67" i="1"/>
  <c r="L67" i="1" s="1"/>
  <c r="J77" i="1"/>
  <c r="L77" i="1" s="1"/>
  <c r="J41" i="1"/>
  <c r="L41" i="1" s="1"/>
  <c r="J65" i="1"/>
  <c r="L65" i="1" s="1"/>
  <c r="J123" i="1"/>
  <c r="J126" i="1"/>
  <c r="J83" i="1"/>
  <c r="J113" i="1"/>
  <c r="J184" i="1"/>
  <c r="L184" i="1" s="1"/>
  <c r="J56" i="1"/>
  <c r="L56" i="1" s="1"/>
  <c r="J187" i="1"/>
  <c r="L187" i="1" s="1"/>
  <c r="J50" i="1"/>
  <c r="L50" i="1" s="1"/>
  <c r="J190" i="1"/>
  <c r="J25" i="1"/>
  <c r="J45" i="1"/>
  <c r="J93" i="1"/>
  <c r="J95" i="1"/>
  <c r="L95" i="1" s="1"/>
  <c r="J175" i="1"/>
  <c r="L175" i="1" s="1"/>
  <c r="J20" i="1"/>
  <c r="L20" i="1" s="1"/>
  <c r="J9" i="1"/>
  <c r="L9" i="1" s="1"/>
  <c r="J179" i="1"/>
  <c r="J127" i="1"/>
  <c r="J80" i="1"/>
  <c r="J148" i="1"/>
  <c r="J6" i="1"/>
  <c r="L6" i="1" s="1"/>
  <c r="J33" i="1"/>
  <c r="L33" i="1" s="1"/>
  <c r="J16" i="1"/>
  <c r="L16" i="1" s="1"/>
  <c r="J48" i="1"/>
  <c r="L48" i="1" s="1"/>
  <c r="J196" i="1"/>
  <c r="L196" i="1" s="1"/>
  <c r="J52" i="1"/>
  <c r="J171" i="1"/>
  <c r="J22" i="1"/>
  <c r="J75" i="1"/>
  <c r="L75" i="1" s="1"/>
  <c r="J51" i="1"/>
  <c r="L51" i="1" s="1"/>
  <c r="J112" i="1"/>
  <c r="L112" i="1" s="1"/>
  <c r="J160" i="1"/>
  <c r="L160" i="1" s="1"/>
  <c r="J12" i="1"/>
  <c r="J35" i="1"/>
  <c r="J138" i="1"/>
  <c r="J32" i="1"/>
  <c r="J157" i="1"/>
  <c r="L157" i="1" s="1"/>
  <c r="J88" i="1"/>
  <c r="L88" i="1" s="1"/>
  <c r="J42" i="1"/>
  <c r="L42" i="1" s="1"/>
  <c r="J146" i="1"/>
  <c r="L146" i="1" s="1"/>
  <c r="J91" i="1"/>
  <c r="J19" i="1"/>
  <c r="J199" i="1"/>
  <c r="J89" i="1"/>
  <c r="J147" i="1"/>
  <c r="L147" i="1" s="1"/>
  <c r="J111" i="1"/>
  <c r="L111" i="1" s="1"/>
  <c r="J11" i="1"/>
  <c r="L11" i="1" s="1"/>
  <c r="J85" i="1"/>
  <c r="L85" i="1" s="1"/>
  <c r="J176" i="1"/>
  <c r="J194" i="1"/>
  <c r="J17" i="1"/>
  <c r="J24" i="1"/>
  <c r="J167" i="1"/>
  <c r="L167" i="1" s="1"/>
  <c r="J108" i="1"/>
  <c r="L108" i="1" s="1"/>
  <c r="J149" i="1"/>
  <c r="J188" i="1"/>
  <c r="L188" i="1" s="1"/>
  <c r="J105" i="1"/>
  <c r="L105" i="1" s="1"/>
  <c r="J60" i="1"/>
  <c r="J152" i="1"/>
  <c r="J183" i="1"/>
  <c r="M183" i="1" s="1"/>
  <c r="J180" i="1"/>
  <c r="L180" i="1" s="1"/>
  <c r="J124" i="1"/>
  <c r="L124" i="1" s="1"/>
  <c r="J145" i="1"/>
  <c r="L145" i="1" s="1"/>
  <c r="J81" i="1"/>
  <c r="L81" i="1" s="1"/>
  <c r="J36" i="1"/>
  <c r="J143" i="1"/>
  <c r="J140" i="1"/>
  <c r="J26" i="1"/>
  <c r="J118" i="1"/>
  <c r="L118" i="1" s="1"/>
  <c r="J193" i="1"/>
  <c r="L193" i="1" s="1"/>
  <c r="J13" i="1"/>
  <c r="L13" i="1" s="1"/>
  <c r="J130" i="1"/>
  <c r="L130" i="1" s="1"/>
  <c r="J131" i="1"/>
  <c r="J34" i="1"/>
  <c r="J14" i="1"/>
  <c r="J98" i="1"/>
  <c r="L98" i="1" s="1"/>
  <c r="J135" i="1"/>
  <c r="L135" i="1" s="1"/>
  <c r="J132" i="1"/>
  <c r="L132" i="1" s="1"/>
  <c r="J92" i="1"/>
  <c r="L92" i="1" s="1"/>
  <c r="J125" i="1"/>
  <c r="L125" i="1" s="1"/>
  <c r="J53" i="1"/>
  <c r="J76" i="1"/>
  <c r="J18" i="1"/>
  <c r="J198" i="1"/>
  <c r="J47" i="1"/>
  <c r="L47" i="1" s="1"/>
  <c r="J192" i="1"/>
  <c r="L192" i="1" s="1"/>
  <c r="J71" i="1"/>
  <c r="L71" i="1" s="1"/>
  <c r="J109" i="1"/>
  <c r="L109" i="1" s="1"/>
  <c r="J189" i="1"/>
  <c r="J166" i="1"/>
  <c r="J116" i="1"/>
  <c r="L116" i="1" s="1"/>
  <c r="J136" i="1"/>
  <c r="J161" i="1"/>
  <c r="L161" i="1" s="1"/>
  <c r="J7" i="1"/>
  <c r="L7" i="1" s="1"/>
  <c r="J104" i="1"/>
  <c r="J23" i="1"/>
  <c r="L23" i="1" s="1"/>
  <c r="J37" i="1"/>
  <c r="J164" i="1"/>
  <c r="J27" i="1"/>
  <c r="J61" i="1"/>
  <c r="L5" i="29" l="1"/>
  <c r="L2" i="29"/>
  <c r="L6" i="29"/>
  <c r="M6" i="29"/>
  <c r="L7" i="29"/>
  <c r="L3" i="29"/>
  <c r="M3" i="29"/>
  <c r="M7" i="29"/>
  <c r="L4" i="29"/>
  <c r="Y2" i="1"/>
  <c r="X2" i="1"/>
  <c r="L93" i="1"/>
  <c r="L190" i="1"/>
  <c r="L100" i="1"/>
  <c r="M148" i="1"/>
  <c r="M93" i="1"/>
  <c r="M100" i="1"/>
  <c r="M189" i="1"/>
  <c r="M40" i="1"/>
  <c r="M198" i="1"/>
  <c r="M26" i="1"/>
  <c r="M29" i="1"/>
  <c r="M22" i="1"/>
  <c r="M63" i="1"/>
  <c r="O63" i="1" s="1"/>
  <c r="P63" i="1" s="1"/>
  <c r="L136" i="1"/>
  <c r="M196" i="1"/>
  <c r="O196" i="1" s="1"/>
  <c r="P196" i="1" s="1"/>
  <c r="M200" i="1"/>
  <c r="M128" i="1"/>
  <c r="L178" i="1"/>
  <c r="M190" i="1"/>
  <c r="M4" i="1"/>
  <c r="M131" i="1"/>
  <c r="L131" i="1"/>
  <c r="L29" i="1"/>
  <c r="M105" i="1"/>
  <c r="O105" i="1" s="1"/>
  <c r="P105" i="1" s="1"/>
  <c r="M66" i="1"/>
  <c r="L91" i="1"/>
  <c r="L128" i="1"/>
  <c r="M91" i="1"/>
  <c r="M62" i="1"/>
  <c r="M178" i="1"/>
  <c r="L40" i="1"/>
  <c r="L22" i="1"/>
  <c r="M136" i="1"/>
  <c r="M32" i="1"/>
  <c r="M163" i="1"/>
  <c r="M90" i="1"/>
  <c r="M27" i="1"/>
  <c r="M18" i="1"/>
  <c r="M14" i="1"/>
  <c r="M140" i="1"/>
  <c r="L152" i="1"/>
  <c r="M17" i="1"/>
  <c r="M138" i="1"/>
  <c r="L171" i="1"/>
  <c r="M171" i="1"/>
  <c r="M80" i="1"/>
  <c r="L45" i="1"/>
  <c r="M83" i="1"/>
  <c r="L165" i="1"/>
  <c r="M165" i="1"/>
  <c r="M2" i="1"/>
  <c r="M197" i="1"/>
  <c r="L169" i="1"/>
  <c r="M97" i="1"/>
  <c r="L122" i="1"/>
  <c r="M122" i="1"/>
  <c r="M43" i="1"/>
  <c r="L96" i="1"/>
  <c r="M150" i="1"/>
  <c r="M59" i="1"/>
  <c r="L31" i="1"/>
  <c r="M31" i="1"/>
  <c r="M164" i="1"/>
  <c r="L166" i="1"/>
  <c r="M76" i="1"/>
  <c r="M34" i="1"/>
  <c r="M143" i="1"/>
  <c r="L60" i="1"/>
  <c r="M194" i="1"/>
  <c r="M35" i="1"/>
  <c r="L52" i="1"/>
  <c r="M52" i="1"/>
  <c r="M127" i="1"/>
  <c r="L25" i="1"/>
  <c r="M126" i="1"/>
  <c r="L155" i="1"/>
  <c r="O155" i="1" s="1"/>
  <c r="P155" i="1" s="1"/>
  <c r="M174" i="1"/>
  <c r="M39" i="1"/>
  <c r="M185" i="1"/>
  <c r="L73" i="1"/>
  <c r="O73" i="1" s="1"/>
  <c r="P73" i="1" s="1"/>
  <c r="M8" i="1"/>
  <c r="M121" i="1"/>
  <c r="M54" i="1"/>
  <c r="L70" i="1"/>
  <c r="M70" i="1"/>
  <c r="M72" i="1"/>
  <c r="L142" i="1"/>
  <c r="M82" i="1"/>
  <c r="L199" i="1"/>
  <c r="L173" i="1"/>
  <c r="M142" i="1"/>
  <c r="L19" i="1"/>
  <c r="L39" i="1"/>
  <c r="M152" i="1"/>
  <c r="M116" i="1"/>
  <c r="O116" i="1" s="1"/>
  <c r="P116" i="1" s="1"/>
  <c r="M60" i="1"/>
  <c r="L121" i="1"/>
  <c r="M166" i="1"/>
  <c r="M173" i="1"/>
  <c r="M199" i="1"/>
  <c r="M45" i="1"/>
  <c r="L14" i="1"/>
  <c r="M19" i="1"/>
  <c r="M25" i="1"/>
  <c r="M96" i="1"/>
  <c r="M61" i="1"/>
  <c r="M98" i="1"/>
  <c r="O98" i="1" s="1"/>
  <c r="P98" i="1" s="1"/>
  <c r="L183" i="1"/>
  <c r="O183" i="1" s="1"/>
  <c r="P183" i="1" s="1"/>
  <c r="M24" i="1"/>
  <c r="M89" i="1"/>
  <c r="L89" i="1"/>
  <c r="M113" i="1"/>
  <c r="M162" i="1"/>
  <c r="M5" i="1"/>
  <c r="L74" i="1"/>
  <c r="O74" i="1" s="1"/>
  <c r="P74" i="1" s="1"/>
  <c r="L129" i="1"/>
  <c r="M129" i="1"/>
  <c r="M78" i="1"/>
  <c r="M101" i="1"/>
  <c r="L34" i="1"/>
  <c r="L162" i="1"/>
  <c r="L101" i="1"/>
  <c r="M169" i="1"/>
  <c r="L189" i="1"/>
  <c r="L62" i="1"/>
  <c r="L4" i="1"/>
  <c r="M37" i="1"/>
  <c r="M53" i="1"/>
  <c r="M36" i="1"/>
  <c r="M176" i="1"/>
  <c r="M12" i="1"/>
  <c r="M179" i="1"/>
  <c r="M123" i="1"/>
  <c r="M58" i="1"/>
  <c r="M106" i="1"/>
  <c r="M170" i="1"/>
  <c r="M15" i="1"/>
  <c r="M10" i="1"/>
  <c r="M38" i="1"/>
  <c r="L61" i="1"/>
  <c r="L198" i="1"/>
  <c r="L26" i="1"/>
  <c r="L24" i="1"/>
  <c r="L32" i="1"/>
  <c r="L148" i="1"/>
  <c r="L113" i="1"/>
  <c r="L163" i="1"/>
  <c r="L5" i="1"/>
  <c r="O5" i="29" s="1"/>
  <c r="L66" i="1"/>
  <c r="L90" i="1"/>
  <c r="L78" i="1"/>
  <c r="L200" i="1"/>
  <c r="M23" i="1"/>
  <c r="O23" i="1" s="1"/>
  <c r="P23" i="1" s="1"/>
  <c r="M109" i="1"/>
  <c r="O109" i="1" s="1"/>
  <c r="P109" i="1" s="1"/>
  <c r="M125" i="1"/>
  <c r="O125" i="1" s="1"/>
  <c r="P125" i="1" s="1"/>
  <c r="M130" i="1"/>
  <c r="O130" i="1" s="1"/>
  <c r="P130" i="1" s="1"/>
  <c r="M81" i="1"/>
  <c r="O81" i="1" s="1"/>
  <c r="P81" i="1" s="1"/>
  <c r="M188" i="1"/>
  <c r="O188" i="1" s="1"/>
  <c r="P188" i="1" s="1"/>
  <c r="M85" i="1"/>
  <c r="O85" i="1" s="1"/>
  <c r="P85" i="1" s="1"/>
  <c r="M146" i="1"/>
  <c r="O146" i="1" s="1"/>
  <c r="P146" i="1" s="1"/>
  <c r="M160" i="1"/>
  <c r="O160" i="1" s="1"/>
  <c r="P160" i="1" s="1"/>
  <c r="M48" i="1"/>
  <c r="O48" i="1" s="1"/>
  <c r="P48" i="1" s="1"/>
  <c r="M9" i="1"/>
  <c r="O9" i="1" s="1"/>
  <c r="P9" i="1" s="1"/>
  <c r="M50" i="1"/>
  <c r="O50" i="1" s="1"/>
  <c r="P50" i="1" s="1"/>
  <c r="M65" i="1"/>
  <c r="O65" i="1" s="1"/>
  <c r="P65" i="1" s="1"/>
  <c r="M103" i="1"/>
  <c r="M3" i="1"/>
  <c r="O3" i="29" s="1"/>
  <c r="M177" i="1"/>
  <c r="O177" i="1" s="1"/>
  <c r="P177" i="1" s="1"/>
  <c r="M115" i="1"/>
  <c r="O115" i="1" s="1"/>
  <c r="P115" i="1" s="1"/>
  <c r="M154" i="1"/>
  <c r="O154" i="1" s="1"/>
  <c r="P154" i="1" s="1"/>
  <c r="M134" i="1"/>
  <c r="O134" i="1" s="1"/>
  <c r="P134" i="1" s="1"/>
  <c r="M139" i="1"/>
  <c r="O139" i="1" s="1"/>
  <c r="P139" i="1" s="1"/>
  <c r="M120" i="1"/>
  <c r="O120" i="1" s="1"/>
  <c r="P120" i="1" s="1"/>
  <c r="M172" i="1"/>
  <c r="O172" i="1" s="1"/>
  <c r="P172" i="1" s="1"/>
  <c r="M201" i="1"/>
  <c r="O201" i="1" s="1"/>
  <c r="P201" i="1" s="1"/>
  <c r="M87" i="1"/>
  <c r="O87" i="1" s="1"/>
  <c r="P87" i="1" s="1"/>
  <c r="M102" i="1"/>
  <c r="O102" i="1" s="1"/>
  <c r="P102" i="1" s="1"/>
  <c r="L27" i="1"/>
  <c r="L18" i="1"/>
  <c r="L140" i="1"/>
  <c r="L17" i="1"/>
  <c r="L138" i="1"/>
  <c r="L80" i="1"/>
  <c r="L83" i="1"/>
  <c r="O83" i="1" s="1"/>
  <c r="P83" i="1" s="1"/>
  <c r="L2" i="1"/>
  <c r="O2" i="29" s="1"/>
  <c r="L197" i="1"/>
  <c r="L97" i="1"/>
  <c r="L43" i="1"/>
  <c r="L150" i="1"/>
  <c r="L59" i="1"/>
  <c r="M104" i="1"/>
  <c r="M71" i="1"/>
  <c r="O71" i="1" s="1"/>
  <c r="P71" i="1" s="1"/>
  <c r="M92" i="1"/>
  <c r="O92" i="1" s="1"/>
  <c r="P92" i="1" s="1"/>
  <c r="M13" i="1"/>
  <c r="O13" i="1" s="1"/>
  <c r="P13" i="1" s="1"/>
  <c r="M145" i="1"/>
  <c r="O145" i="1" s="1"/>
  <c r="P145" i="1" s="1"/>
  <c r="M149" i="1"/>
  <c r="M11" i="1"/>
  <c r="O11" i="1" s="1"/>
  <c r="P11" i="1" s="1"/>
  <c r="M42" i="1"/>
  <c r="O42" i="1" s="1"/>
  <c r="P42" i="1" s="1"/>
  <c r="M112" i="1"/>
  <c r="O112" i="1" s="1"/>
  <c r="P112" i="1" s="1"/>
  <c r="M16" i="1"/>
  <c r="O16" i="1" s="1"/>
  <c r="P16" i="1" s="1"/>
  <c r="M20" i="1"/>
  <c r="O20" i="1" s="1"/>
  <c r="P20" i="1" s="1"/>
  <c r="M187" i="1"/>
  <c r="O187" i="1" s="1"/>
  <c r="P187" i="1" s="1"/>
  <c r="M41" i="1"/>
  <c r="O41" i="1" s="1"/>
  <c r="P41" i="1" s="1"/>
  <c r="M168" i="1"/>
  <c r="M44" i="1"/>
  <c r="O44" i="1" s="1"/>
  <c r="P44" i="1" s="1"/>
  <c r="M107" i="1"/>
  <c r="O107" i="1" s="1"/>
  <c r="P107" i="1" s="1"/>
  <c r="M195" i="1"/>
  <c r="M110" i="1"/>
  <c r="O110" i="1" s="1"/>
  <c r="P110" i="1" s="1"/>
  <c r="M159" i="1"/>
  <c r="O159" i="1" s="1"/>
  <c r="P159" i="1" s="1"/>
  <c r="M64" i="1"/>
  <c r="O64" i="1" s="1"/>
  <c r="P64" i="1" s="1"/>
  <c r="M119" i="1"/>
  <c r="O119" i="1" s="1"/>
  <c r="P119" i="1" s="1"/>
  <c r="M156" i="1"/>
  <c r="M84" i="1"/>
  <c r="O84" i="1" s="1"/>
  <c r="P84" i="1" s="1"/>
  <c r="M153" i="1"/>
  <c r="O153" i="1" s="1"/>
  <c r="P153" i="1" s="1"/>
  <c r="M79" i="1"/>
  <c r="L143" i="1"/>
  <c r="L194" i="1"/>
  <c r="L35" i="1"/>
  <c r="L127" i="1"/>
  <c r="L126" i="1"/>
  <c r="L174" i="1"/>
  <c r="O174" i="1" s="1"/>
  <c r="P174" i="1" s="1"/>
  <c r="L185" i="1"/>
  <c r="L8" i="1"/>
  <c r="L54" i="1"/>
  <c r="L72" i="1"/>
  <c r="L82" i="1"/>
  <c r="M7" i="1"/>
  <c r="O7" i="1" s="1"/>
  <c r="M192" i="1"/>
  <c r="O192" i="1" s="1"/>
  <c r="P192" i="1" s="1"/>
  <c r="M132" i="1"/>
  <c r="O132" i="1" s="1"/>
  <c r="P132" i="1" s="1"/>
  <c r="M193" i="1"/>
  <c r="O193" i="1" s="1"/>
  <c r="P193" i="1" s="1"/>
  <c r="M124" i="1"/>
  <c r="O124" i="1" s="1"/>
  <c r="P124" i="1" s="1"/>
  <c r="M108" i="1"/>
  <c r="O108" i="1" s="1"/>
  <c r="P108" i="1" s="1"/>
  <c r="M111" i="1"/>
  <c r="O111" i="1" s="1"/>
  <c r="P111" i="1" s="1"/>
  <c r="M88" i="1"/>
  <c r="O88" i="1" s="1"/>
  <c r="P88" i="1" s="1"/>
  <c r="M51" i="1"/>
  <c r="O51" i="1" s="1"/>
  <c r="P51" i="1" s="1"/>
  <c r="M33" i="1"/>
  <c r="O33" i="1" s="1"/>
  <c r="P33" i="1" s="1"/>
  <c r="M175" i="1"/>
  <c r="O175" i="1" s="1"/>
  <c r="P175" i="1" s="1"/>
  <c r="M56" i="1"/>
  <c r="O56" i="1" s="1"/>
  <c r="P56" i="1" s="1"/>
  <c r="M77" i="1"/>
  <c r="O77" i="1" s="1"/>
  <c r="P77" i="1" s="1"/>
  <c r="M186" i="1"/>
  <c r="O186" i="1" s="1"/>
  <c r="P186" i="1" s="1"/>
  <c r="M114" i="1"/>
  <c r="O114" i="1" s="1"/>
  <c r="P114" i="1" s="1"/>
  <c r="M151" i="1"/>
  <c r="O151" i="1" s="1"/>
  <c r="P151" i="1" s="1"/>
  <c r="M68" i="1"/>
  <c r="O68" i="1" s="1"/>
  <c r="P68" i="1" s="1"/>
  <c r="M55" i="1"/>
  <c r="O55" i="1" s="1"/>
  <c r="P55" i="1" s="1"/>
  <c r="M137" i="1"/>
  <c r="O137" i="1" s="1"/>
  <c r="P137" i="1" s="1"/>
  <c r="M191" i="1"/>
  <c r="O191" i="1" s="1"/>
  <c r="P191" i="1" s="1"/>
  <c r="M21" i="1"/>
  <c r="O21" i="1" s="1"/>
  <c r="P21" i="1" s="1"/>
  <c r="M144" i="1"/>
  <c r="O144" i="1" s="1"/>
  <c r="P144" i="1" s="1"/>
  <c r="M69" i="1"/>
  <c r="O69" i="1" s="1"/>
  <c r="P69" i="1" s="1"/>
  <c r="M182" i="1"/>
  <c r="O182" i="1" s="1"/>
  <c r="P182" i="1" s="1"/>
  <c r="M181" i="1"/>
  <c r="O181" i="1" s="1"/>
  <c r="P181" i="1" s="1"/>
  <c r="L164" i="1"/>
  <c r="L76" i="1"/>
  <c r="L37" i="1"/>
  <c r="L53" i="1"/>
  <c r="L36" i="1"/>
  <c r="L176" i="1"/>
  <c r="L12" i="1"/>
  <c r="L179" i="1"/>
  <c r="L123" i="1"/>
  <c r="L58" i="1"/>
  <c r="L106" i="1"/>
  <c r="L170" i="1"/>
  <c r="L15" i="1"/>
  <c r="L10" i="1"/>
  <c r="L38" i="1"/>
  <c r="M161" i="1"/>
  <c r="O161" i="1" s="1"/>
  <c r="P161" i="1" s="1"/>
  <c r="M47" i="1"/>
  <c r="O47" i="1" s="1"/>
  <c r="P47" i="1" s="1"/>
  <c r="M135" i="1"/>
  <c r="O135" i="1" s="1"/>
  <c r="P135" i="1" s="1"/>
  <c r="M118" i="1"/>
  <c r="O118" i="1" s="1"/>
  <c r="P118" i="1" s="1"/>
  <c r="M180" i="1"/>
  <c r="O180" i="1" s="1"/>
  <c r="P180" i="1" s="1"/>
  <c r="M167" i="1"/>
  <c r="O167" i="1" s="1"/>
  <c r="P167" i="1" s="1"/>
  <c r="M147" i="1"/>
  <c r="O147" i="1" s="1"/>
  <c r="P147" i="1" s="1"/>
  <c r="M157" i="1"/>
  <c r="O157" i="1" s="1"/>
  <c r="P157" i="1" s="1"/>
  <c r="M75" i="1"/>
  <c r="O75" i="1" s="1"/>
  <c r="P75" i="1" s="1"/>
  <c r="M6" i="1"/>
  <c r="O6" i="1" s="1"/>
  <c r="P6" i="29" s="1"/>
  <c r="M95" i="1"/>
  <c r="O95" i="1" s="1"/>
  <c r="P95" i="1" s="1"/>
  <c r="M184" i="1"/>
  <c r="O184" i="1" s="1"/>
  <c r="P184" i="1" s="1"/>
  <c r="M67" i="1"/>
  <c r="O67" i="1" s="1"/>
  <c r="P67" i="1" s="1"/>
  <c r="M117" i="1"/>
  <c r="O117" i="1" s="1"/>
  <c r="P117" i="1" s="1"/>
  <c r="M133" i="1"/>
  <c r="O133" i="1" s="1"/>
  <c r="P133" i="1" s="1"/>
  <c r="M28" i="1"/>
  <c r="O28" i="1" s="1"/>
  <c r="P28" i="1" s="1"/>
  <c r="M46" i="1"/>
  <c r="O46" i="1" s="1"/>
  <c r="P46" i="1" s="1"/>
  <c r="M86" i="1"/>
  <c r="O86" i="1" s="1"/>
  <c r="P86" i="1" s="1"/>
  <c r="M30" i="1"/>
  <c r="O30" i="1" s="1"/>
  <c r="P30" i="1" s="1"/>
  <c r="M99" i="1"/>
  <c r="O99" i="1" s="1"/>
  <c r="P99" i="1" s="1"/>
  <c r="M57" i="1"/>
  <c r="O57" i="1" s="1"/>
  <c r="P57" i="1" s="1"/>
  <c r="M49" i="1"/>
  <c r="O49" i="1" s="1"/>
  <c r="P49" i="1" s="1"/>
  <c r="M158" i="1"/>
  <c r="O158" i="1" s="1"/>
  <c r="P158" i="1" s="1"/>
  <c r="M94" i="1"/>
  <c r="O94" i="1" s="1"/>
  <c r="P94" i="1" s="1"/>
  <c r="M141" i="1"/>
  <c r="L103" i="1"/>
  <c r="L104" i="1"/>
  <c r="L149" i="1"/>
  <c r="L168" i="1"/>
  <c r="L195" i="1"/>
  <c r="L156" i="1"/>
  <c r="L79" i="1"/>
  <c r="L141" i="1"/>
  <c r="P7" i="1" l="1"/>
  <c r="P7" i="29"/>
  <c r="O4" i="29"/>
  <c r="O6" i="29"/>
  <c r="O7" i="29"/>
  <c r="O3" i="1"/>
  <c r="P3" i="29" s="1"/>
  <c r="P6" i="1"/>
  <c r="O59" i="1"/>
  <c r="P59" i="1" s="1"/>
  <c r="O195" i="1"/>
  <c r="P195" i="1" s="1"/>
  <c r="O141" i="1"/>
  <c r="P141" i="1" s="1"/>
  <c r="O32" i="1"/>
  <c r="P32" i="1" s="1"/>
  <c r="O17" i="1"/>
  <c r="P17" i="1" s="1"/>
  <c r="O198" i="1"/>
  <c r="P198" i="1" s="1"/>
  <c r="O5" i="1"/>
  <c r="P5" i="29" s="1"/>
  <c r="O128" i="1"/>
  <c r="P128" i="1" s="1"/>
  <c r="O39" i="1"/>
  <c r="P39" i="1" s="1"/>
  <c r="O97" i="1"/>
  <c r="P97" i="1" s="1"/>
  <c r="O82" i="1"/>
  <c r="P82" i="1" s="1"/>
  <c r="O14" i="1"/>
  <c r="P14" i="1" s="1"/>
  <c r="O72" i="1"/>
  <c r="P72" i="1" s="1"/>
  <c r="O194" i="1"/>
  <c r="P194" i="1" s="1"/>
  <c r="O148" i="1"/>
  <c r="P148" i="1" s="1"/>
  <c r="O103" i="1"/>
  <c r="P103" i="1" s="1"/>
  <c r="O123" i="1"/>
  <c r="P123" i="1" s="1"/>
  <c r="O164" i="1"/>
  <c r="P164" i="1" s="1"/>
  <c r="O58" i="1"/>
  <c r="P58" i="1" s="1"/>
  <c r="O76" i="1"/>
  <c r="P76" i="1" s="1"/>
  <c r="O66" i="1"/>
  <c r="P66" i="1" s="1"/>
  <c r="O127" i="1"/>
  <c r="P127" i="1" s="1"/>
  <c r="O18" i="1"/>
  <c r="P18" i="1" s="1"/>
  <c r="O121" i="1"/>
  <c r="P121" i="1" s="1"/>
  <c r="O199" i="1"/>
  <c r="P199" i="1" s="1"/>
  <c r="O131" i="1"/>
  <c r="P131" i="1" s="1"/>
  <c r="O136" i="1"/>
  <c r="P136" i="1" s="1"/>
  <c r="O106" i="1"/>
  <c r="P106" i="1" s="1"/>
  <c r="O37" i="1"/>
  <c r="P37" i="1" s="1"/>
  <c r="O138" i="1"/>
  <c r="P138" i="1" s="1"/>
  <c r="O26" i="1"/>
  <c r="P26" i="1" s="1"/>
  <c r="O126" i="1"/>
  <c r="P126" i="1" s="1"/>
  <c r="O43" i="1"/>
  <c r="P43" i="1" s="1"/>
  <c r="O140" i="1"/>
  <c r="P140" i="1" s="1"/>
  <c r="O29" i="1"/>
  <c r="P29" i="1" s="1"/>
  <c r="O93" i="1"/>
  <c r="P93" i="1" s="1"/>
  <c r="O163" i="1"/>
  <c r="P163" i="1" s="1"/>
  <c r="O152" i="1"/>
  <c r="P152" i="1" s="1"/>
  <c r="O79" i="1"/>
  <c r="P79" i="1" s="1"/>
  <c r="O35" i="1"/>
  <c r="P35" i="1" s="1"/>
  <c r="O197" i="1"/>
  <c r="P197" i="1" s="1"/>
  <c r="O113" i="1"/>
  <c r="P113" i="1" s="1"/>
  <c r="O2" i="1"/>
  <c r="P2" i="29" s="1"/>
  <c r="O101" i="1"/>
  <c r="P101" i="1" s="1"/>
  <c r="O200" i="1"/>
  <c r="P200" i="1" s="1"/>
  <c r="O8" i="1"/>
  <c r="P8" i="1" s="1"/>
  <c r="O89" i="1"/>
  <c r="P89" i="1" s="1"/>
  <c r="O61" i="1"/>
  <c r="P61" i="1" s="1"/>
  <c r="O189" i="1"/>
  <c r="P189" i="1" s="1"/>
  <c r="O173" i="1"/>
  <c r="P173" i="1" s="1"/>
  <c r="O60" i="1"/>
  <c r="P60" i="1" s="1"/>
  <c r="O15" i="1"/>
  <c r="P15" i="1" s="1"/>
  <c r="O36" i="1"/>
  <c r="P36" i="1" s="1"/>
  <c r="O54" i="1"/>
  <c r="P54" i="1" s="1"/>
  <c r="O129" i="1"/>
  <c r="P129" i="1" s="1"/>
  <c r="O142" i="1"/>
  <c r="P142" i="1" s="1"/>
  <c r="O179" i="1"/>
  <c r="P179" i="1" s="1"/>
  <c r="O10" i="1"/>
  <c r="P10" i="1" s="1"/>
  <c r="O176" i="1"/>
  <c r="P176" i="1" s="1"/>
  <c r="O96" i="1"/>
  <c r="P96" i="1" s="1"/>
  <c r="O169" i="1"/>
  <c r="P169" i="1" s="1"/>
  <c r="O171" i="1"/>
  <c r="P171" i="1" s="1"/>
  <c r="O27" i="1"/>
  <c r="P27" i="1" s="1"/>
  <c r="O70" i="1"/>
  <c r="P70" i="1" s="1"/>
  <c r="O165" i="1"/>
  <c r="P165" i="1" s="1"/>
  <c r="O162" i="1"/>
  <c r="P162" i="1" s="1"/>
  <c r="O12" i="1"/>
  <c r="P12" i="1" s="1"/>
  <c r="O52" i="1"/>
  <c r="P52" i="1" s="1"/>
  <c r="O143" i="1"/>
  <c r="P143" i="1" s="1"/>
  <c r="O170" i="1"/>
  <c r="P170" i="1" s="1"/>
  <c r="O53" i="1"/>
  <c r="P53" i="1" s="1"/>
  <c r="O80" i="1"/>
  <c r="P80" i="1" s="1"/>
  <c r="O78" i="1"/>
  <c r="P78" i="1" s="1"/>
  <c r="O24" i="1"/>
  <c r="P24" i="1" s="1"/>
  <c r="O34" i="1"/>
  <c r="P34" i="1" s="1"/>
  <c r="O25" i="1"/>
  <c r="P25" i="1" s="1"/>
  <c r="O31" i="1"/>
  <c r="P31" i="1" s="1"/>
  <c r="O91" i="1"/>
  <c r="P91" i="1" s="1"/>
  <c r="O178" i="1"/>
  <c r="P178" i="1" s="1"/>
  <c r="O38" i="1"/>
  <c r="P38" i="1" s="1"/>
  <c r="O156" i="1"/>
  <c r="P156" i="1" s="1"/>
  <c r="O149" i="1"/>
  <c r="P149" i="1" s="1"/>
  <c r="O185" i="1"/>
  <c r="P185" i="1" s="1"/>
  <c r="O90" i="1"/>
  <c r="P90" i="1" s="1"/>
  <c r="O4" i="1"/>
  <c r="P4" i="29" s="1"/>
  <c r="O19" i="1"/>
  <c r="P19" i="1" s="1"/>
  <c r="O45" i="1"/>
  <c r="P45" i="1" s="1"/>
  <c r="O100" i="1"/>
  <c r="P100" i="1" s="1"/>
  <c r="O168" i="1"/>
  <c r="P168" i="1" s="1"/>
  <c r="O104" i="1"/>
  <c r="P104" i="1" s="1"/>
  <c r="O150" i="1"/>
  <c r="P150" i="1" s="1"/>
  <c r="O62" i="1"/>
  <c r="P62" i="1" s="1"/>
  <c r="O122" i="1"/>
  <c r="P122" i="1" s="1"/>
  <c r="O22" i="1"/>
  <c r="P22" i="1" s="1"/>
  <c r="O190" i="1"/>
  <c r="P190" i="1" s="1"/>
  <c r="O166" i="1"/>
  <c r="P166" i="1" s="1"/>
  <c r="O40" i="1"/>
  <c r="P40" i="1" s="1"/>
  <c r="P5" i="1" l="1"/>
  <c r="P4" i="1"/>
  <c r="P2" i="1"/>
  <c r="P3" i="1"/>
</calcChain>
</file>

<file path=xl/sharedStrings.xml><?xml version="1.0" encoding="utf-8"?>
<sst xmlns="http://schemas.openxmlformats.org/spreadsheetml/2006/main" count="285" uniqueCount="236">
  <si>
    <t>student_id</t>
  </si>
  <si>
    <t>hours_studied</t>
  </si>
  <si>
    <t>sleep_hours</t>
  </si>
  <si>
    <t>attendance_percent</t>
  </si>
  <si>
    <t>previous_scores</t>
  </si>
  <si>
    <t>exam_score</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</si>
  <si>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</si>
  <si>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</si>
  <si>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</si>
  <si>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</si>
  <si>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</si>
  <si>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</si>
  <si>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</si>
  <si>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</si>
  <si>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</si>
  <si>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</si>
  <si>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</si>
  <si>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</si>
  <si>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</si>
  <si>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</si>
  <si>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</si>
  <si>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</si>
  <si>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</si>
  <si>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</si>
  <si>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</si>
  <si>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</si>
  <si>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</si>
  <si>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</si>
  <si>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</si>
  <si>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</si>
  <si>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</si>
  <si>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</si>
  <si>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</si>
  <si>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</si>
  <si>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</si>
  <si>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</si>
  <si>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</si>
  <si>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</si>
  <si>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</si>
  <si>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</si>
  <si>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</si>
  <si>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</si>
  <si>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</si>
  <si>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</si>
  <si>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</si>
  <si>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</si>
  <si>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</si>
  <si>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</si>
  <si>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</si>
  <si>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</si>
  <si>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</si>
  <si>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</si>
  <si>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</si>
  <si>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</si>
  <si>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</si>
  <si>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</si>
  <si>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</si>
  <si>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</si>
  <si>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</si>
  <si>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</si>
  <si>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</si>
  <si>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</si>
  <si>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</si>
  <si>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</si>
  <si>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</si>
  <si>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</si>
  <si>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</si>
  <si>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</si>
  <si>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</si>
  <si>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</si>
  <si>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</si>
  <si>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</si>
  <si>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</si>
  <si>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</si>
  <si>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</si>
  <si>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</si>
  <si>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</si>
  <si>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</si>
  <si>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</si>
  <si>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</si>
  <si>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</si>
  <si>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</si>
  <si>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</si>
  <si>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</si>
  <si>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</si>
  <si>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</si>
  <si>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</si>
  <si>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</si>
  <si>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</si>
  <si>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</si>
  <si>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</si>
  <si>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</si>
  <si>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</si>
  <si>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</si>
  <si>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</si>
  <si>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</si>
  <si>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</si>
  <si>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</si>
  <si>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</si>
  <si>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</si>
  <si>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</si>
  <si>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</si>
  <si>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</si>
  <si>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</si>
  <si>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</si>
  <si>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</si>
  <si>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</si>
  <si>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</si>
  <si>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</si>
  <si>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</si>
  <si>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</si>
  <si>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</si>
  <si>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</si>
  <si>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</si>
  <si>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</si>
  <si>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</si>
  <si>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</si>
  <si>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</si>
  <si>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</si>
  <si>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</si>
  <si>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</si>
  <si>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</si>
  <si>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</si>
  <si>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</si>
  <si>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</si>
  <si>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</si>
  <si>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</si>
  <si>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</si>
  <si>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</si>
  <si>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</si>
  <si>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</si>
  <si>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</si>
  <si>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</si>
  <si>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</si>
  <si>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</si>
  <si>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</si>
  <si>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</si>
  <si>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</si>
  <si>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</si>
  <si>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</si>
  <si>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</si>
  <si>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</si>
  <si>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</si>
  <si>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</si>
  <si>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</si>
  <si>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</si>
  <si>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</si>
  <si>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</si>
  <si>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</si>
  <si>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</si>
  <si>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</si>
  <si>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</si>
  <si>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</si>
  <si>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</si>
  <si>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</si>
  <si>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</si>
  <si>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</si>
  <si>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</si>
  <si>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</si>
  <si>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</si>
  <si>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</si>
  <si>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</si>
  <si>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</si>
  <si>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</si>
  <si>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</si>
  <si>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</si>
  <si>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</si>
  <si>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</si>
  <si>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</si>
  <si>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</si>
  <si>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</si>
  <si>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</si>
  <si>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</si>
  <si>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</si>
  <si>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</si>
  <si>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</si>
  <si>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</si>
  <si>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</si>
  <si>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</si>
  <si>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</si>
  <si>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</si>
  <si>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</si>
  <si>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</si>
  <si>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</si>
  <si>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</si>
  <si>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</si>
  <si>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</si>
  <si>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</si>
  <si>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</si>
  <si>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</si>
  <si>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</si>
  <si>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</si>
  <si>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</si>
  <si>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</si>
  <si>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</si>
  <si>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</si>
  <si>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</si>
  <si>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</si>
  <si>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</si>
  <si>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</si>
  <si>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</si>
  <si>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</si>
  <si>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</si>
  <si>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</si>
  <si>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</si>
  <si>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</si>
  <si>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Study_efficiency</t>
  </si>
  <si>
    <t>Sleep-study balance</t>
  </si>
  <si>
    <t>Improvement Rate</t>
  </si>
  <si>
    <t>Total Scores</t>
  </si>
  <si>
    <t>Weight of Previous Scores</t>
  </si>
  <si>
    <t>Weight of Exam Score</t>
  </si>
  <si>
    <t>Weighted Average</t>
  </si>
  <si>
    <t>Weighted Average Distribution</t>
  </si>
  <si>
    <t>Highest Exam Score</t>
  </si>
  <si>
    <t>Lowest Exam Score</t>
  </si>
  <si>
    <t>Ultimate Study Efficiency</t>
  </si>
  <si>
    <t>Total Study Hours</t>
  </si>
  <si>
    <t>Total Exam Scores</t>
  </si>
  <si>
    <t>AVG Study Time</t>
  </si>
  <si>
    <t>AVG Individual Efficiency</t>
  </si>
  <si>
    <t>Row Labels</t>
  </si>
  <si>
    <t>Grand Total</t>
  </si>
  <si>
    <t>AVG Sleep Time</t>
  </si>
  <si>
    <t>Max. of exam_score</t>
  </si>
  <si>
    <t>Average</t>
  </si>
  <si>
    <t>Overall Study Efficiency</t>
  </si>
  <si>
    <t>Max. of Study_efficiency</t>
  </si>
  <si>
    <t>Attendance %</t>
  </si>
  <si>
    <t>Low</t>
  </si>
  <si>
    <t>High</t>
  </si>
  <si>
    <t>Count of student_id</t>
  </si>
  <si>
    <t>Sleep Hours</t>
  </si>
  <si>
    <t>Attendance Rate</t>
  </si>
  <si>
    <t>Study Hours</t>
  </si>
  <si>
    <t>hours_studied sleep_hours attendance_percent Attendance % previous_scores exam_score Study_efficiency Sleep-study balance Total Scores Improvement Rate Weight of Previous Scores Weight of Exam Score Ultimate Study Efficiency Weighted Average Weighted Average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</si>
</sst>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Segoe U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A9D08E"/>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13" fillId="33" borderId="10" xfId="0" applyFont="1" applyFill="1" applyBorder="1"/>
    <xf numFmtId="0" fontId="13" fillId="33" borderId="11"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9" fontId="0" fillId="0" borderId="0" xfId="1" applyFont="1"/>
    <xf numFmtId="0" fontId="0" fillId="0" borderId="0" xfId="1" applyNumberFormat="1" applyFont="1"/>
    <xf numFmtId="2" fontId="0" fillId="0" borderId="0" xfId="0" applyNumberFormat="1"/>
    <xf numFmtId="0" fontId="0" fillId="35" borderId="0" xfId="0" applyFill="1"/>
    <xf numFmtId="0" fontId="0" fillId="0" borderId="0" xfId="0" pivotButton="1"/>
    <xf numFmtId="0" fontId="0" fillId="0" borderId="0" xfId="0" applyAlignment="1">
      <alignment horizontal="left"/>
    </xf>
    <xf numFmtId="9" fontId="0" fillId="0" borderId="0" xfId="0" applyNumberFormat="1"/>
    <xf numFmtId="164" fontId="0" fillId="0" borderId="0" xfId="1" applyNumberFormat="1" applyFont="1"/>
    <xf numFmtId="164" fontId="0" fillId="0" borderId="0" xfId="0" applyNumberFormat="1" applyAlignment="1">
      <alignment horizontal="left"/>
    </xf>
    <xf numFmtId="0" fontId="13" fillId="33" borderId="11" xfId="1" applyNumberFormat="1" applyFont="1" applyFill="1" applyBorder="1"/>
    <xf numFmtId="164" fontId="13" fillId="33" borderId="11" xfId="1" applyNumberFormat="1" applyFont="1" applyFill="1" applyBorder="1"/>
    <xf numFmtId="9" fontId="13" fillId="33" borderId="11" xfId="1" applyFont="1" applyFill="1" applyBorder="1"/>
    <xf numFmtId="2" fontId="13" fillId="33" borderId="11" xfId="0" applyNumberFormat="1" applyFont="1" applyFill="1" applyBorder="1"/>
    <xf numFmtId="2" fontId="13" fillId="33" borderId="12" xfId="0" applyNumberFormat="1" applyFont="1" applyFill="1" applyBorder="1"/>
    <xf numFmtId="0" fontId="0" fillId="34" borderId="11" xfId="1" applyNumberFormat="1" applyFont="1" applyFill="1" applyBorder="1"/>
    <xf numFmtId="164" fontId="0" fillId="34" borderId="11" xfId="1" applyNumberFormat="1" applyFont="1" applyFill="1" applyBorder="1"/>
    <xf numFmtId="9" fontId="0" fillId="34" borderId="11" xfId="1" applyFont="1" applyFill="1" applyBorder="1"/>
    <xf numFmtId="2" fontId="0" fillId="34" borderId="11" xfId="0" applyNumberFormat="1" applyFill="1" applyBorder="1"/>
    <xf numFmtId="2" fontId="0" fillId="34" borderId="12" xfId="0" applyNumberFormat="1" applyFill="1" applyBorder="1"/>
    <xf numFmtId="0" fontId="0" fillId="0" borderId="11" xfId="1" applyNumberFormat="1" applyFont="1" applyBorder="1"/>
    <xf numFmtId="164" fontId="0" fillId="0" borderId="11" xfId="1" applyNumberFormat="1" applyFont="1" applyBorder="1"/>
    <xf numFmtId="9" fontId="0" fillId="0" borderId="11" xfId="1" applyFont="1" applyBorder="1"/>
    <xf numFmtId="2" fontId="0" fillId="0" borderId="11" xfId="0" applyNumberFormat="1" applyBorder="1"/>
    <xf numFmtId="2" fontId="0" fillId="0" borderId="12" xfId="0" applyNumberFormat="1" applyBorder="1"/>
    <xf numFmtId="0" fontId="0" fillId="36" borderId="0" xfId="0" applyFill="1"/>
    <xf numFmtId="0" fontId="19"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4" formatCode="0.0%"/>
    </dxf>
    <dxf>
      <numFmt numFmtId="0" formatCode="General"/>
    </dxf>
    <dxf>
      <numFmt numFmtId="13" formatCode="0%"/>
    </dxf>
    <dxf>
      <numFmt numFmtId="13" formatCode="0%"/>
    </dxf>
    <dxf>
      <font>
        <b/>
        <color theme="1"/>
      </font>
      <border>
        <bottom style="thin">
          <color theme="9"/>
        </bottom>
        <vertical/>
        <horizontal/>
      </border>
    </dxf>
    <dxf>
      <font>
        <b/>
        <i val="0"/>
        <strike val="0"/>
        <sz val="16"/>
        <color theme="9" tint="0.39991454817346722"/>
        <name val="Times New Roman"/>
        <family val="1"/>
        <scheme val="none"/>
      </font>
      <fill>
        <patternFill>
          <bgColor rgb="FF243917"/>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00000000-0011-0000-FFFF-FFFF00000000}">
      <tableStyleElement type="wholeTable" dxfId="23"/>
      <tableStyleElement type="headerRow" dxfId="22"/>
    </tableStyle>
  </tableStyles>
  <colors>
    <mruColors>
      <color rgb="FF17270F"/>
      <color rgb="FFA9D08E"/>
      <color rgb="FFC6E0B4"/>
      <color rgb="FF0B1307"/>
      <color rgb="FF1F3214"/>
      <color rgb="FF2A411B"/>
      <color rgb="FF090E06"/>
      <color rgb="FF304A1E"/>
      <color rgb="FF75B549"/>
      <color rgb="FF3E5F2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theme="9" tint="0.39991454817346722"/>
            <name val="Times New Roman"/>
            <family val="1"/>
            <scheme val="none"/>
          </font>
          <fill>
            <patternFill patternType="solid">
              <fgColor auto="1"/>
              <bgColor rgb="FF283E1A"/>
            </patternFill>
          </fill>
          <border>
            <left style="thin">
              <color rgb="FF999999"/>
            </left>
            <right style="thin">
              <color rgb="FF999999"/>
            </right>
            <top style="thin">
              <color rgb="FF999999"/>
            </top>
            <bottom style="thin">
              <color rgb="FF999999"/>
            </bottom>
            <vertical/>
            <horizontal/>
          </border>
        </dxf>
        <dxf>
          <font>
            <color theme="9" tint="0.39994506668294322"/>
          </font>
          <fill>
            <patternFill patternType="solid">
              <fgColor auto="1"/>
              <bgColor rgb="FF283E1A"/>
            </patternFill>
          </fill>
          <border diagonalUp="0" diagonalDown="0">
            <left/>
            <right/>
            <top/>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8"/>
            <color rgb="FF243917"/>
            <name val="Calibri"/>
            <family val="2"/>
            <scheme val="minor"/>
          </font>
          <fill>
            <patternFill patternType="solid">
              <fgColor theme="9"/>
              <bgColor theme="9" tint="0.3999450666829432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4"/>
            <color theme="9" tint="0.39994506668294322"/>
          </font>
          <fill>
            <patternFill patternType="solid">
              <fgColor rgb="FF1F3214"/>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Report.xlsx]Top 5 Performing Students!PivotTable7</c:name>
    <c:fmtId val="22"/>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US" sz="2800" b="1">
                <a:latin typeface="Georgia" panose="02040502050405020303" pitchFamily="18" charset="0"/>
              </a:rPr>
              <a:t>Top 5 Performing Students by Exam Scores</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725664441028679E-2"/>
          <c:y val="0.41874234381380154"/>
          <c:w val="0.97654867111794263"/>
          <c:h val="0.3594998775010208"/>
        </c:manualLayout>
      </c:layout>
      <c:lineChart>
        <c:grouping val="standard"/>
        <c:varyColors val="0"/>
        <c:ser>
          <c:idx val="0"/>
          <c:order val="0"/>
          <c:tx>
            <c:strRef>
              <c:f>'Top 5 Performing Students'!$B$3</c:f>
              <c:strCache>
                <c:ptCount val="1"/>
                <c:pt idx="0">
                  <c:v>Total</c:v>
                </c:pt>
              </c:strCache>
            </c:strRef>
          </c:tx>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s>
            <c:spPr>
              <a:noFill/>
              <a:ln>
                <a:noFill/>
              </a:ln>
              <a:effectLst/>
            </c:spPr>
            <c:txPr>
              <a:bodyPr rot="0" spcFirstLastPara="1" vertOverflow="ellipsis" vert="horz" wrap="square" anchor="ctr" anchorCtr="1"/>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Students'!$A$4:$A$9</c:f>
              <c:strCache>
                <c:ptCount val="5"/>
                <c:pt idx="0">
                  <c:v>S087</c:v>
                </c:pt>
                <c:pt idx="1">
                  <c:v>S084</c:v>
                </c:pt>
                <c:pt idx="2">
                  <c:v>S061</c:v>
                </c:pt>
                <c:pt idx="3">
                  <c:v>S121</c:v>
                </c:pt>
                <c:pt idx="4">
                  <c:v>S072</c:v>
                </c:pt>
              </c:strCache>
            </c:strRef>
          </c:cat>
          <c:val>
            <c:numRef>
              <c:f>'Top 5 Performing Students'!$B$4:$B$9</c:f>
              <c:numCache>
                <c:formatCode>General</c:formatCode>
                <c:ptCount val="5"/>
                <c:pt idx="0">
                  <c:v>51.3</c:v>
                </c:pt>
                <c:pt idx="1">
                  <c:v>48.9</c:v>
                </c:pt>
                <c:pt idx="2">
                  <c:v>48.6</c:v>
                </c:pt>
                <c:pt idx="3">
                  <c:v>47.9</c:v>
                </c:pt>
                <c:pt idx="4">
                  <c:v>47.9</c:v>
                </c:pt>
              </c:numCache>
            </c:numRef>
          </c:val>
          <c:smooth val="0"/>
          <c:extLst>
            <c:ext xmlns:c16="http://schemas.microsoft.com/office/drawing/2014/chart" uri="{C3380CC4-5D6E-409C-BE32-E72D297353CC}">
              <c16:uniqueId val="{00000000-BB25-414A-BCE8-847EFD5FA40C}"/>
            </c:ext>
          </c:extLst>
        </c:ser>
        <c:dLbls>
          <c:showLegendKey val="0"/>
          <c:showVal val="1"/>
          <c:showCatName val="0"/>
          <c:showSerName val="0"/>
          <c:showPercent val="0"/>
          <c:showBubbleSize val="0"/>
        </c:dLbls>
        <c:smooth val="0"/>
        <c:axId val="1003792015"/>
        <c:axId val="1067366943"/>
      </c:line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solidFill>
            <a:schemeClr val="accent6">
              <a:lumMod val="60000"/>
              <a:lumOff val="40000"/>
            </a:schemeClr>
          </a:solidFill>
          <a:latin typeface="Times New Roman" panose="02020603050405020304" pitchFamily="18" charset="0"/>
          <a:cs typeface="Times New Roman" panose="02020603050405020304" pitchFamily="18"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Report.xlsx]Attendance &amp; Study Efficiency!PivotTable7</c:name>
    <c:fmtId val="21"/>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US" sz="2800" b="1" i="0" u="none" strike="noStrike" kern="1200" spc="0" baseline="0">
                <a:solidFill>
                  <a:schemeClr val="accent6">
                    <a:lumMod val="60000"/>
                    <a:lumOff val="40000"/>
                  </a:schemeClr>
                </a:solidFill>
                <a:latin typeface="Georgia" panose="02040502050405020303" pitchFamily="18" charset="0"/>
                <a:cs typeface="Times New Roman" panose="02020603050405020304" pitchFamily="18" charset="0"/>
              </a:rPr>
              <a:t>Correlation between Sleep-Study Balance and Study Efficiency</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1B0B"/>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rgbClr val="FDFEFC"/>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pivotFmt>
    </c:pivotFmts>
    <c:plotArea>
      <c:layout>
        <c:manualLayout>
          <c:layoutTarget val="inner"/>
          <c:xMode val="edge"/>
          <c:yMode val="edge"/>
          <c:x val="2.7320261719111335E-2"/>
          <c:y val="0.47403938729126549"/>
          <c:w val="0.94535947656177732"/>
          <c:h val="0.3692718855550996"/>
        </c:manualLayout>
      </c:layout>
      <c:barChart>
        <c:barDir val="col"/>
        <c:grouping val="clustered"/>
        <c:varyColors val="0"/>
        <c:ser>
          <c:idx val="0"/>
          <c:order val="0"/>
          <c:tx>
            <c:strRef>
              <c:f>'Attendance &amp; Study Efficiency'!$B$3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E-55B6-434A-B43A-FDF04F1FC9E8}"/>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F-55B6-434A-B43A-FDF04F1FC9E8}"/>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0-55B6-434A-B43A-FDF04F1FC9E8}"/>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1-55B6-434A-B43A-FDF04F1FC9E8}"/>
              </c:ext>
            </c:extLst>
          </c:dPt>
          <c:dPt>
            <c:idx val="4"/>
            <c:invertIfNegative val="0"/>
            <c:bubble3D val="0"/>
            <c:spPr>
              <a:solidFill>
                <a:srgbClr val="FDFEFC"/>
              </a:solidFill>
              <a:ln>
                <a:noFill/>
              </a:ln>
              <a:effectLst/>
            </c:spPr>
            <c:extLst>
              <c:ext xmlns:c16="http://schemas.microsoft.com/office/drawing/2014/chart" uri="{C3380CC4-5D6E-409C-BE32-E72D297353CC}">
                <c16:uniqueId val="{00000009-73C5-4B46-A59F-1DDE0961AE00}"/>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&amp; Study Efficiency'!$A$4:$A$9</c:f>
              <c:strCache>
                <c:ptCount val="5"/>
                <c:pt idx="0">
                  <c:v>81.1%</c:v>
                </c:pt>
                <c:pt idx="1">
                  <c:v>83.6%</c:v>
                </c:pt>
                <c:pt idx="2">
                  <c:v>84.7%</c:v>
                </c:pt>
                <c:pt idx="3">
                  <c:v>97.5%</c:v>
                </c:pt>
                <c:pt idx="4">
                  <c:v>82.6%</c:v>
                </c:pt>
              </c:strCache>
            </c:strRef>
          </c:cat>
          <c:val>
            <c:numRef>
              <c:f>'Attendance &amp; Study Efficiency'!$B$4:$B$9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C-55B6-434A-B43A-FDF04F1FC9E8}"/>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4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Report.xlsx]Efficiency Weight Distribution!PivotTable7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40000"/>
              <a:lumOff val="60000"/>
            </a:schemeClr>
          </a:solidFill>
          <a:ln>
            <a:noFill/>
          </a:ln>
          <a:effectLst/>
        </c:spPr>
      </c:pivotFmt>
    </c:pivotFmts>
    <c:plotArea>
      <c:layout>
        <c:manualLayout>
          <c:layoutTarget val="inner"/>
          <c:xMode val="edge"/>
          <c:yMode val="edge"/>
          <c:x val="0.25031777701544439"/>
          <c:y val="0.22619459892741209"/>
          <c:w val="0.34695526212094147"/>
          <c:h val="0.66188820610497656"/>
        </c:manualLayout>
      </c:layout>
      <c:pieChart>
        <c:varyColors val="1"/>
        <c:ser>
          <c:idx val="0"/>
          <c:order val="0"/>
          <c:tx>
            <c:strRef>
              <c:f>'Efficiency Weight Distribution'!$B$3</c:f>
              <c:strCache>
                <c:ptCount val="1"/>
                <c:pt idx="0">
                  <c:v>Total</c:v>
                </c:pt>
              </c:strCache>
            </c:strRef>
          </c:tx>
          <c:explosion val="7"/>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3-DE27-428B-AFDB-74FDD349B023}"/>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1-DE27-428B-AFDB-74FDD349B023}"/>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2-DE27-428B-AFDB-74FDD349B023}"/>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'Efficiency Weight Distribution'!$A$4:$A$7</c:f>
              <c:strCache>
                <c:ptCount val="3"/>
                <c:pt idx="0">
                  <c:v>Low</c:v>
                </c:pt>
                <c:pt idx="1">
                  <c:v>High</c:v>
                </c:pt>
                <c:pt idx="2">
                  <c:v>Average</c:v>
                </c:pt>
              </c:strCache>
            </c:strRef>
          </c:cat>
          <c:val>
            <c:numRef>
              <c:f>'Efficiency Weight Distribution'!$B$4:$B$7</c:f>
              <c:numCache>
                <c:formatCode>General</c:formatCode>
                <c:ptCount val="3"/>
                <c:pt idx="0">
                  <c:v>62</c:v>
                </c:pt>
                <c:pt idx="1">
                  <c:v>69</c:v>
                </c:pt>
                <c:pt idx="2">
                  <c:v>69</c:v>
                </c:pt>
              </c:numCache>
            </c:numRef>
          </c:val>
          <c:extLst>
            <c:ext xmlns:c16="http://schemas.microsoft.com/office/drawing/2014/chart" uri="{C3380CC4-5D6E-409C-BE32-E72D297353CC}">
              <c16:uniqueId val="{00000000-DE27-428B-AFDB-74FDD349B0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444985216723861"/>
          <c:y val="0.37141372262716915"/>
          <c:w val="0.15726606340344634"/>
          <c:h val="0.36836113702490608"/>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6">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a:outerShdw blurRad="50800" dist="38100" dir="2700000" algn="tl" rotWithShape="0">
        <a:schemeClr val="tx1">
          <a:lumMod val="85000"/>
          <a:lumOff val="15000"/>
          <a:alpha val="40000"/>
        </a:scheme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Report.xlsx]Exam Score &amp; Other Factors!PivotTable13</c:name>
    <c:fmtId val="2"/>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GB" sz="2800">
                <a:latin typeface="Georgia" panose="02040502050405020303" pitchFamily="18" charset="0"/>
              </a:rPr>
              <a:t>Correlation between Exam Score and Study Hours,</a:t>
            </a:r>
            <a:r>
              <a:rPr lang="en-GB" sz="2800" baseline="0">
                <a:latin typeface="Georgia" panose="02040502050405020303" pitchFamily="18" charset="0"/>
              </a:rPr>
              <a:t> </a:t>
            </a:r>
            <a:r>
              <a:rPr lang="en-GB" sz="2800">
                <a:latin typeface="Georgia" panose="02040502050405020303" pitchFamily="18" charset="0"/>
              </a:rPr>
              <a:t> Sleep Hours</a:t>
            </a:r>
            <a:r>
              <a:rPr lang="en-GB" sz="2800" baseline="0">
                <a:latin typeface="Georgia" panose="02040502050405020303" pitchFamily="18" charset="0"/>
              </a:rPr>
              <a:t>, Attendance Rate</a:t>
            </a:r>
            <a:endParaRPr lang="en-GB" sz="2800">
              <a:latin typeface="Georgia" panose="02040502050405020303" pitchFamily="18" charset="0"/>
            </a:endParaRPr>
          </a:p>
        </c:rich>
      </c:tx>
      <c:layout>
        <c:manualLayout>
          <c:xMode val="edge"/>
          <c:yMode val="edge"/>
          <c:x val="0.10443319942636195"/>
          <c:y val="2.2665621433791562E-2"/>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GB"/>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75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40000"/>
                      <a:lumOff val="6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26735167945981E-2"/>
          <c:y val="0.40837902218229938"/>
          <c:w val="0.8114752642604397"/>
          <c:h val="0.42446307292043711"/>
        </c:manualLayout>
      </c:layout>
      <c:barChart>
        <c:barDir val="col"/>
        <c:grouping val="clustered"/>
        <c:varyColors val="0"/>
        <c:ser>
          <c:idx val="0"/>
          <c:order val="0"/>
          <c:tx>
            <c:strRef>
              <c:f>'Exam Score &amp; Other Factors'!$B$3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5ECD-4566-BF6B-9EB0A4DA0D7C}"/>
            </c:ext>
          </c:extLst>
        </c:ser>
        <c:ser>
          <c:idx val="1"/>
          <c:order val="1"/>
          <c:tx>
            <c:strRef>
              <c:f>'Exam Score &amp; Other Factors'!$C$3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75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5ECD-4566-BF6B-9EB0A4DA0D7C}"/>
            </c:ext>
          </c:extLst>
        </c:ser>
        <c:ser>
          <c:idx val="2"/>
          <c:order val="2"/>
          <c:tx>
            <c:strRef>
              <c:f>'Exam Score &amp; Other Factors'!$D$3</c:f>
              <c:strCache>
                <c:ptCount val="1"/>
                <c:pt idx="0">
                  <c:v>Attendance Rate</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40000"/>
                        <a:lumOff val="6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5ECD-4566-BF6B-9EB0A4DA0D7C}"/>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layout>
        <c:manualLayout>
          <c:xMode val="edge"/>
          <c:yMode val="edge"/>
          <c:x val="0.85087957688572891"/>
          <c:y val="0.36741935690390393"/>
          <c:w val="0.14231121934945162"/>
          <c:h val="0.3612280315554695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Report.xlsx]Students with Highest Study Eff!PivotTable7</c:name>
    <c:fmtId val="27"/>
  </c:pivotSource>
  <c:chart>
    <c:autoTitleDeleted val="1"/>
    <c:pivotFmts>
      <c:pivotFmt>
        <c:idx val="0"/>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B2D69A"/>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D5E9C9"/>
          </a:solidFill>
          <a:ln>
            <a:noFill/>
          </a:ln>
          <a:effectLst/>
        </c:spPr>
      </c:pivotFmt>
      <c:pivotFmt>
        <c:idx val="15"/>
        <c:spPr>
          <a:solidFill>
            <a:schemeClr val="accent6">
              <a:lumMod val="20000"/>
              <a:lumOff val="80000"/>
            </a:schemeClr>
          </a:solidFill>
          <a:ln>
            <a:noFill/>
          </a:ln>
          <a:effectLst/>
        </c:spPr>
      </c:pivotFmt>
    </c:pivotFmts>
    <c:plotArea>
      <c:layout>
        <c:manualLayout>
          <c:layoutTarget val="inner"/>
          <c:xMode val="edge"/>
          <c:yMode val="edge"/>
          <c:x val="2.6792298316994891E-2"/>
          <c:y val="0.44653349058454705"/>
          <c:w val="0.94641540336601027"/>
          <c:h val="0.38801249528087939"/>
        </c:manualLayout>
      </c:layout>
      <c:barChart>
        <c:barDir val="col"/>
        <c:grouping val="clustered"/>
        <c:varyColors val="0"/>
        <c:ser>
          <c:idx val="0"/>
          <c:order val="0"/>
          <c:tx>
            <c:strRef>
              <c:f>'Students with Highest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B3DB-4549-A416-078E1CD46450}"/>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B3DB-4549-A416-078E1CD46450}"/>
              </c:ext>
            </c:extLst>
          </c:dPt>
          <c:dPt>
            <c:idx val="3"/>
            <c:invertIfNegative val="0"/>
            <c:bubble3D val="0"/>
            <c:spPr>
              <a:solidFill>
                <a:srgbClr val="D5E9C9"/>
              </a:solidFill>
              <a:ln>
                <a:noFill/>
              </a:ln>
              <a:effectLst/>
            </c:spPr>
            <c:extLst>
              <c:ext xmlns:c16="http://schemas.microsoft.com/office/drawing/2014/chart" uri="{C3380CC4-5D6E-409C-BE32-E72D297353CC}">
                <c16:uniqueId val="{00000004-B3DB-4549-A416-078E1CD46450}"/>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B3DB-4549-A416-078E1CD46450}"/>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with Highest Study Eff'!$A$4:$A$9</c:f>
              <c:strCache>
                <c:ptCount val="5"/>
                <c:pt idx="0">
                  <c:v>S101</c:v>
                </c:pt>
                <c:pt idx="1">
                  <c:v>S013</c:v>
                </c:pt>
                <c:pt idx="2">
                  <c:v>S068</c:v>
                </c:pt>
                <c:pt idx="3">
                  <c:v>S127</c:v>
                </c:pt>
                <c:pt idx="4">
                  <c:v>S125</c:v>
                </c:pt>
              </c:strCache>
            </c:strRef>
          </c:cat>
          <c:val>
            <c:numRef>
              <c:f>'Students with Highest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0-B3DB-4549-A416-078E1CD46450}"/>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Report.xlsx]Sleep-Study Balance &amp; Study Eff!PivotTable7</c:name>
    <c:fmtId val="23"/>
  </c:pivotSource>
  <c:chart>
    <c:autoTitleDeleted val="1"/>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rgbClr val="EFF6EA"/>
          </a:solidFill>
          <a:ln>
            <a:noFill/>
          </a:ln>
          <a:effectLst/>
        </c:spPr>
      </c:pivotFmt>
    </c:pivotFmts>
    <c:plotArea>
      <c:layout>
        <c:manualLayout>
          <c:layoutTarget val="inner"/>
          <c:xMode val="edge"/>
          <c:yMode val="edge"/>
          <c:x val="2.7459081644085486E-2"/>
          <c:y val="0.45751209943576432"/>
          <c:w val="0.94974951435624444"/>
          <c:h val="0.38369689487674652"/>
        </c:manualLayout>
      </c:layout>
      <c:barChart>
        <c:barDir val="col"/>
        <c:grouping val="clustered"/>
        <c:varyColors val="0"/>
        <c:ser>
          <c:idx val="0"/>
          <c:order val="0"/>
          <c:tx>
            <c:strRef>
              <c:f>'Sleep-Study Balance &amp;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15A0-444D-980C-62FC4EFFF826}"/>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15A0-444D-980C-62FC4EFFF826}"/>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15A0-444D-980C-62FC4EFFF826}"/>
              </c:ext>
            </c:extLst>
          </c:dPt>
          <c:dPt>
            <c:idx val="4"/>
            <c:invertIfNegative val="0"/>
            <c:bubble3D val="0"/>
            <c:spPr>
              <a:solidFill>
                <a:srgbClr val="EFF6EA"/>
              </a:solidFill>
              <a:ln>
                <a:noFill/>
              </a:ln>
              <a:effectLst/>
            </c:spPr>
            <c:extLst>
              <c:ext xmlns:c16="http://schemas.microsoft.com/office/drawing/2014/chart" uri="{C3380CC4-5D6E-409C-BE32-E72D297353CC}">
                <c16:uniqueId val="{0000000C-15A0-444D-980C-62FC4EFFF826}"/>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'Sleep-Study Balance &amp; Study Eff'!$A$4:$A$9</c:f>
              <c:strCache>
                <c:ptCount val="5"/>
                <c:pt idx="0">
                  <c:v>7.73</c:v>
                </c:pt>
                <c:pt idx="1">
                  <c:v>4.85</c:v>
                </c:pt>
                <c:pt idx="2">
                  <c:v>6.36</c:v>
                </c:pt>
                <c:pt idx="3">
                  <c:v>4.75</c:v>
                </c:pt>
                <c:pt idx="4">
                  <c:v>4.1</c:v>
                </c:pt>
              </c:strCache>
            </c:strRef>
          </c:cat>
          <c:val>
            <c:numRef>
              <c:f>'Sleep-Study Balance &amp;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15A0-444D-980C-62FC4EFFF826}"/>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4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sz="1400">
          <a:solidFill>
            <a:srgbClr val="111B0B"/>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Report.xlsx]Top 5 Performing Students!PivotTable7</c:name>
    <c:fmtId val="24"/>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sz="1400" b="1"/>
              <a:t>Top 5 Performing Students by Exam Scores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Performing Students'!$B$3</c:f>
              <c:strCache>
                <c:ptCount val="1"/>
                <c:pt idx="0">
                  <c:v>Total</c:v>
                </c:pt>
              </c:strCache>
            </c:strRef>
          </c:tx>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s>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Students'!$A$4:$A$9</c:f>
              <c:strCache>
                <c:ptCount val="5"/>
                <c:pt idx="0">
                  <c:v>S087</c:v>
                </c:pt>
                <c:pt idx="1">
                  <c:v>S084</c:v>
                </c:pt>
                <c:pt idx="2">
                  <c:v>S061</c:v>
                </c:pt>
                <c:pt idx="3">
                  <c:v>S121</c:v>
                </c:pt>
                <c:pt idx="4">
                  <c:v>S072</c:v>
                </c:pt>
              </c:strCache>
            </c:strRef>
          </c:cat>
          <c:val>
            <c:numRef>
              <c:f>'Top 5 Performing Students'!$B$4:$B$9</c:f>
              <c:numCache>
                <c:formatCode>General</c:formatCode>
                <c:ptCount val="5"/>
                <c:pt idx="0">
                  <c:v>51.3</c:v>
                </c:pt>
                <c:pt idx="1">
                  <c:v>48.9</c:v>
                </c:pt>
                <c:pt idx="2">
                  <c:v>48.6</c:v>
                </c:pt>
                <c:pt idx="3">
                  <c:v>47.9</c:v>
                </c:pt>
                <c:pt idx="4">
                  <c:v>47.9</c:v>
                </c:pt>
              </c:numCache>
            </c:numRef>
          </c:val>
          <c:smooth val="0"/>
          <c:extLst>
            <c:ext xmlns:c16="http://schemas.microsoft.com/office/drawing/2014/chart" uri="{C3380CC4-5D6E-409C-BE32-E72D297353CC}">
              <c16:uniqueId val="{00000000-3C8B-4F32-8E23-A2FEF06D9B59}"/>
            </c:ext>
          </c:extLst>
        </c:ser>
        <c:dLbls>
          <c:showLegendKey val="0"/>
          <c:showVal val="1"/>
          <c:showCatName val="0"/>
          <c:showSerName val="0"/>
          <c:showPercent val="0"/>
          <c:showBubbleSize val="0"/>
        </c:dLbls>
        <c:smooth val="0"/>
        <c:axId val="1003792015"/>
        <c:axId val="1067366943"/>
      </c:line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solidFill>
            <a:schemeClr val="accent6">
              <a:lumMod val="60000"/>
              <a:lumOff val="40000"/>
            </a:schemeClr>
          </a:solidFill>
          <a:latin typeface="Times New Roman" panose="02020603050405020304" pitchFamily="18" charset="0"/>
          <a:cs typeface="Times New Roman" panose="02020603050405020304" pitchFamily="18"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Report.xlsx]Sleep-Study Balance &amp; Study Eff!PivotTable7</c:name>
    <c:fmtId val="25"/>
  </c:pivotSource>
  <c:chart>
    <c:title>
      <c:tx>
        <c:rich>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Correlation between Attendance and Study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rgbClr val="EFF6EA"/>
          </a:solidFill>
          <a:ln>
            <a:noFill/>
          </a:ln>
          <a:effectLst/>
        </c:spPr>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20000"/>
              <a:lumOff val="80000"/>
            </a:schemeClr>
          </a:solidFill>
          <a:ln>
            <a:noFill/>
          </a:ln>
          <a:effectLst/>
        </c:spPr>
      </c:pivotFmt>
      <c:pivotFmt>
        <c:idx val="19"/>
        <c:spPr>
          <a:solidFill>
            <a:srgbClr val="EFF6EA"/>
          </a:solidFill>
          <a:ln>
            <a:noFill/>
          </a:ln>
          <a:effectLst/>
        </c:spPr>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40000"/>
              <a:lumOff val="60000"/>
            </a:schemeClr>
          </a:solidFill>
          <a:ln>
            <a:noFill/>
          </a:ln>
          <a:effectLst/>
        </c:spPr>
      </c:pivotFmt>
      <c:pivotFmt>
        <c:idx val="23"/>
        <c:spPr>
          <a:solidFill>
            <a:schemeClr val="accent6">
              <a:lumMod val="20000"/>
              <a:lumOff val="80000"/>
            </a:schemeClr>
          </a:solidFill>
          <a:ln>
            <a:noFill/>
          </a:ln>
          <a:effectLst/>
        </c:spPr>
      </c:pivotFmt>
      <c:pivotFmt>
        <c:idx val="24"/>
        <c:spPr>
          <a:solidFill>
            <a:srgbClr val="EFF6EA"/>
          </a:solidFill>
          <a:ln>
            <a:noFill/>
          </a:ln>
          <a:effectLst/>
        </c:spPr>
      </c:pivotFmt>
    </c:pivotFmts>
    <c:plotArea>
      <c:layout>
        <c:manualLayout>
          <c:layoutTarget val="inner"/>
          <c:xMode val="edge"/>
          <c:yMode val="edge"/>
          <c:x val="2.7459081644085486E-2"/>
          <c:y val="0.27994813647976163"/>
          <c:w val="0.9725409183559145"/>
          <c:h val="0.57060622183724308"/>
        </c:manualLayout>
      </c:layout>
      <c:barChart>
        <c:barDir val="col"/>
        <c:grouping val="clustered"/>
        <c:varyColors val="0"/>
        <c:ser>
          <c:idx val="0"/>
          <c:order val="0"/>
          <c:tx>
            <c:strRef>
              <c:f>'Sleep-Study Balance &amp;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701-4960-BDE3-4672F980CCD1}"/>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2701-4960-BDE3-4672F980CCD1}"/>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2701-4960-BDE3-4672F980CCD1}"/>
              </c:ext>
            </c:extLst>
          </c:dPt>
          <c:dPt>
            <c:idx val="4"/>
            <c:invertIfNegative val="0"/>
            <c:bubble3D val="0"/>
            <c:spPr>
              <a:solidFill>
                <a:srgbClr val="EFF6EA"/>
              </a:solidFill>
              <a:ln>
                <a:noFill/>
              </a:ln>
              <a:effectLst/>
            </c:spPr>
            <c:extLst>
              <c:ext xmlns:c16="http://schemas.microsoft.com/office/drawing/2014/chart" uri="{C3380CC4-5D6E-409C-BE32-E72D297353CC}">
                <c16:uniqueId val="{00000007-2701-4960-BDE3-4672F980CCD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'Sleep-Study Balance &amp; Study Eff'!$A$4:$A$9</c:f>
              <c:strCache>
                <c:ptCount val="5"/>
                <c:pt idx="0">
                  <c:v>7.73</c:v>
                </c:pt>
                <c:pt idx="1">
                  <c:v>4.85</c:v>
                </c:pt>
                <c:pt idx="2">
                  <c:v>6.36</c:v>
                </c:pt>
                <c:pt idx="3">
                  <c:v>4.75</c:v>
                </c:pt>
                <c:pt idx="4">
                  <c:v>4.1</c:v>
                </c:pt>
              </c:strCache>
            </c:strRef>
          </c:cat>
          <c:val>
            <c:numRef>
              <c:f>'Sleep-Study Balance &amp;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2701-4960-BDE3-4672F980CCD1}"/>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a:outerShdw blurRad="50800" dist="38100" dir="2700000" algn="tl" rotWithShape="0">
        <a:srgbClr val="111B0B">
          <a:alpha val="40000"/>
        </a:srgbClr>
      </a:outerShdw>
    </a:effectLst>
  </c:spPr>
  <c:txPr>
    <a:bodyPr/>
    <a:lstStyle/>
    <a:p>
      <a:pPr>
        <a:defRPr sz="1400">
          <a:solidFill>
            <a:srgbClr val="111B0B"/>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Report.xlsx]Attendance &amp; Study Efficiency!PivotTable7</c:name>
    <c:fmtId val="23"/>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Correlation between Sleep-Study Balance and Study Efficiency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1B0B"/>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rgbClr val="FDFEFC"/>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40000"/>
              <a:lumOff val="60000"/>
            </a:schemeClr>
          </a:solidFill>
          <a:ln>
            <a:noFill/>
          </a:ln>
          <a:effectLst/>
        </c:spPr>
      </c:pivotFmt>
      <c:pivotFmt>
        <c:idx val="27"/>
        <c:spPr>
          <a:solidFill>
            <a:schemeClr val="accent6">
              <a:lumMod val="20000"/>
              <a:lumOff val="80000"/>
            </a:schemeClr>
          </a:solidFill>
          <a:ln>
            <a:noFill/>
          </a:ln>
          <a:effectLst/>
        </c:spPr>
      </c:pivotFmt>
      <c:pivotFmt>
        <c:idx val="28"/>
        <c:spPr>
          <a:solidFill>
            <a:srgbClr val="FDFEFC"/>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20000"/>
              <a:lumOff val="80000"/>
            </a:schemeClr>
          </a:solidFill>
          <a:ln>
            <a:noFill/>
          </a:ln>
          <a:effectLst/>
        </c:spPr>
      </c:pivotFmt>
      <c:pivotFmt>
        <c:idx val="34"/>
        <c:spPr>
          <a:solidFill>
            <a:srgbClr val="FDFEFC"/>
          </a:solidFill>
          <a:ln>
            <a:noFill/>
          </a:ln>
          <a:effectLst/>
        </c:spPr>
      </c:pivotFmt>
    </c:pivotFmts>
    <c:plotArea>
      <c:layout>
        <c:manualLayout>
          <c:layoutTarget val="inner"/>
          <c:xMode val="edge"/>
          <c:yMode val="edge"/>
          <c:x val="2.7320261719111335E-2"/>
          <c:y val="0.32700000000000007"/>
          <c:w val="0.94535947656177732"/>
          <c:h val="0.5384000000000001"/>
        </c:manualLayout>
      </c:layout>
      <c:barChart>
        <c:barDir val="col"/>
        <c:grouping val="clustered"/>
        <c:varyColors val="0"/>
        <c:ser>
          <c:idx val="0"/>
          <c:order val="0"/>
          <c:tx>
            <c:strRef>
              <c:f>'Attendance &amp; Study Efficiency'!$B$3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4D88-4421-A3C8-3F61A9309F42}"/>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4D88-4421-A3C8-3F61A9309F42}"/>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4D88-4421-A3C8-3F61A9309F42}"/>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4D88-4421-A3C8-3F61A9309F42}"/>
              </c:ext>
            </c:extLst>
          </c:dPt>
          <c:dPt>
            <c:idx val="4"/>
            <c:invertIfNegative val="0"/>
            <c:bubble3D val="0"/>
            <c:spPr>
              <a:solidFill>
                <a:srgbClr val="FDFEFC"/>
              </a:solidFill>
              <a:ln>
                <a:noFill/>
              </a:ln>
              <a:effectLst/>
            </c:spPr>
            <c:extLst>
              <c:ext xmlns:c16="http://schemas.microsoft.com/office/drawing/2014/chart" uri="{C3380CC4-5D6E-409C-BE32-E72D297353CC}">
                <c16:uniqueId val="{00000009-4D88-4421-A3C8-3F61A9309F4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&amp; Study Efficiency'!$A$4:$A$9</c:f>
              <c:strCache>
                <c:ptCount val="5"/>
                <c:pt idx="0">
                  <c:v>81.1%</c:v>
                </c:pt>
                <c:pt idx="1">
                  <c:v>83.6%</c:v>
                </c:pt>
                <c:pt idx="2">
                  <c:v>84.7%</c:v>
                </c:pt>
                <c:pt idx="3">
                  <c:v>97.5%</c:v>
                </c:pt>
                <c:pt idx="4">
                  <c:v>82.6%</c:v>
                </c:pt>
              </c:strCache>
            </c:strRef>
          </c:cat>
          <c:val>
            <c:numRef>
              <c:f>'Attendance &amp; Study Efficiency'!$B$4:$B$9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A-4D88-4421-A3C8-3F61A9309F42}"/>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Report.xlsx]Students with Highest Study Eff!PivotTable7</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Students with the Highest Study Efficiency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endParaRPr lang="en-NG"/>
        </a:p>
      </c:txPr>
    </c:title>
    <c:autoTitleDeleted val="0"/>
    <c:pivotFmts>
      <c:pivotFmt>
        <c:idx val="0"/>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B2D69A"/>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D5E9C9"/>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D5E9C9"/>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rgbClr val="D5E9C9"/>
          </a:solidFill>
          <a:ln>
            <a:noFill/>
          </a:ln>
          <a:effectLst/>
        </c:spPr>
      </c:pivotFmt>
      <c:pivotFmt>
        <c:idx val="25"/>
        <c:spPr>
          <a:solidFill>
            <a:schemeClr val="accent6">
              <a:lumMod val="20000"/>
              <a:lumOff val="80000"/>
            </a:schemeClr>
          </a:solidFill>
          <a:ln>
            <a:noFill/>
          </a:ln>
          <a:effectLst/>
        </c:spPr>
      </c:pivotFmt>
    </c:pivotFmts>
    <c:plotArea>
      <c:layout>
        <c:manualLayout>
          <c:layoutTarget val="inner"/>
          <c:xMode val="edge"/>
          <c:yMode val="edge"/>
          <c:x val="2.6792298316994891E-2"/>
          <c:y val="0.30160316622774286"/>
          <c:w val="0.94641540336601027"/>
          <c:h val="0.54698738903379873"/>
        </c:manualLayout>
      </c:layout>
      <c:barChart>
        <c:barDir val="col"/>
        <c:grouping val="clustered"/>
        <c:varyColors val="0"/>
        <c:ser>
          <c:idx val="0"/>
          <c:order val="0"/>
          <c:tx>
            <c:strRef>
              <c:f>'Students with Highest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6342-4AFF-8527-DC7F7E8B3B1E}"/>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342-4AFF-8527-DC7F7E8B3B1E}"/>
              </c:ext>
            </c:extLst>
          </c:dPt>
          <c:dPt>
            <c:idx val="3"/>
            <c:invertIfNegative val="0"/>
            <c:bubble3D val="0"/>
            <c:spPr>
              <a:solidFill>
                <a:srgbClr val="D5E9C9"/>
              </a:solidFill>
              <a:ln>
                <a:noFill/>
              </a:ln>
              <a:effectLst/>
            </c:spPr>
            <c:extLst>
              <c:ext xmlns:c16="http://schemas.microsoft.com/office/drawing/2014/chart" uri="{C3380CC4-5D6E-409C-BE32-E72D297353CC}">
                <c16:uniqueId val="{00000005-6342-4AFF-8527-DC7F7E8B3B1E}"/>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6342-4AFF-8527-DC7F7E8B3B1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with Highest Study Eff'!$A$4:$A$9</c:f>
              <c:strCache>
                <c:ptCount val="5"/>
                <c:pt idx="0">
                  <c:v>S101</c:v>
                </c:pt>
                <c:pt idx="1">
                  <c:v>S013</c:v>
                </c:pt>
                <c:pt idx="2">
                  <c:v>S068</c:v>
                </c:pt>
                <c:pt idx="3">
                  <c:v>S127</c:v>
                </c:pt>
                <c:pt idx="4">
                  <c:v>S125</c:v>
                </c:pt>
              </c:strCache>
            </c:strRef>
          </c:cat>
          <c:val>
            <c:numRef>
              <c:f>'Students with Highest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6342-4AFF-8527-DC7F7E8B3B1E}"/>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Report.xlsx]Efficiency Weight Distribution!PivotTable7</c:name>
    <c:fmtId val="44"/>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b="1">
                <a:solidFill>
                  <a:schemeClr val="accent6">
                    <a:lumMod val="60000"/>
                    <a:lumOff val="40000"/>
                  </a:schemeClr>
                </a:solidFill>
                <a:latin typeface="Times New Roman" panose="02020603050405020304" pitchFamily="18" charset="0"/>
                <a:cs typeface="Times New Roman" panose="02020603050405020304" pitchFamily="18" charset="0"/>
              </a:rPr>
              <a:t>Efficiency</a:t>
            </a:r>
            <a:r>
              <a:rPr lang="en-US" b="1" baseline="0">
                <a:solidFill>
                  <a:schemeClr val="accent6">
                    <a:lumMod val="60000"/>
                    <a:lumOff val="40000"/>
                  </a:schemeClr>
                </a:solidFill>
                <a:latin typeface="Times New Roman" panose="02020603050405020304" pitchFamily="18" charset="0"/>
                <a:cs typeface="Times New Roman" panose="02020603050405020304" pitchFamily="18" charset="0"/>
              </a:rPr>
              <a:t> Weight Distribution</a:t>
            </a:r>
            <a:endParaRPr lang="en-US" b="1">
              <a:solidFill>
                <a:schemeClr val="accent6">
                  <a:lumMod val="60000"/>
                  <a:lumOff val="4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75000"/>
            </a:schemeClr>
          </a:solidFill>
          <a:ln>
            <a:noFill/>
          </a:ln>
          <a:effectLst/>
        </c:spPr>
      </c:pivotFmt>
    </c:pivotFmts>
    <c:plotArea>
      <c:layout/>
      <c:pieChart>
        <c:varyColors val="1"/>
        <c:ser>
          <c:idx val="0"/>
          <c:order val="0"/>
          <c:tx>
            <c:strRef>
              <c:f>'Efficiency Weight Distribution'!$B$3</c:f>
              <c:strCache>
                <c:ptCount val="1"/>
                <c:pt idx="0">
                  <c:v>Total</c:v>
                </c:pt>
              </c:strCache>
            </c:strRef>
          </c:tx>
          <c:explosion val="7"/>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1-0830-421C-9CAC-AD9C069EBB1B}"/>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0830-421C-9CAC-AD9C069EBB1B}"/>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5-0830-421C-9CAC-AD9C069EBB1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'Efficiency Weight Distribution'!$A$4:$A$7</c:f>
              <c:strCache>
                <c:ptCount val="3"/>
                <c:pt idx="0">
                  <c:v>Low</c:v>
                </c:pt>
                <c:pt idx="1">
                  <c:v>High</c:v>
                </c:pt>
                <c:pt idx="2">
                  <c:v>Average</c:v>
                </c:pt>
              </c:strCache>
            </c:strRef>
          </c:cat>
          <c:val>
            <c:numRef>
              <c:f>'Efficiency Weight Distribution'!$B$4:$B$7</c:f>
              <c:numCache>
                <c:formatCode>General</c:formatCode>
                <c:ptCount val="3"/>
                <c:pt idx="0">
                  <c:v>62</c:v>
                </c:pt>
                <c:pt idx="1">
                  <c:v>69</c:v>
                </c:pt>
                <c:pt idx="2">
                  <c:v>69</c:v>
                </c:pt>
              </c:numCache>
            </c:numRef>
          </c:val>
          <c:extLst>
            <c:ext xmlns:c16="http://schemas.microsoft.com/office/drawing/2014/chart" uri="{C3380CC4-5D6E-409C-BE32-E72D297353CC}">
              <c16:uniqueId val="{00000006-0830-421C-9CAC-AD9C069EBB1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Report.xlsx]Exam Score &amp; Other Factors!PivotTable13</c:name>
    <c:fmtId val="0"/>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s>
    <c:plotArea>
      <c:layout/>
      <c:barChart>
        <c:barDir val="col"/>
        <c:grouping val="clustered"/>
        <c:varyColors val="0"/>
        <c:ser>
          <c:idx val="0"/>
          <c:order val="0"/>
          <c:tx>
            <c:strRef>
              <c:f>'Exam Score &amp; Other Factors'!$B$3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EC85-49D4-BA88-6B4A641C6EFF}"/>
            </c:ext>
          </c:extLst>
        </c:ser>
        <c:ser>
          <c:idx val="1"/>
          <c:order val="1"/>
          <c:tx>
            <c:strRef>
              <c:f>'Exam Score &amp; Other Factors'!$C$3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EC85-49D4-BA88-6B4A641C6EFF}"/>
            </c:ext>
          </c:extLst>
        </c:ser>
        <c:ser>
          <c:idx val="2"/>
          <c:order val="2"/>
          <c:tx>
            <c:strRef>
              <c:f>'Exam Score &amp; Other Factors'!$D$3</c:f>
              <c:strCache>
                <c:ptCount val="1"/>
                <c:pt idx="0">
                  <c:v>Attendance Rate</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EC85-49D4-BA88-6B4A641C6EFF}"/>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Report.xlsx]Exam Score &amp; Other Factors (2)!PivotTable13</c:name>
    <c:fmtId val="5"/>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 Score &amp; Other Factors (2)'!$B$3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62FA-4410-9C3F-4C0608D9A9E8}"/>
            </c:ext>
          </c:extLst>
        </c:ser>
        <c:ser>
          <c:idx val="1"/>
          <c:order val="1"/>
          <c:tx>
            <c:strRef>
              <c:f>'Exam Score &amp; Other Factors (2)'!$C$3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62FA-4410-9C3F-4C0608D9A9E8}"/>
            </c:ext>
          </c:extLst>
        </c:ser>
        <c:ser>
          <c:idx val="2"/>
          <c:order val="2"/>
          <c:tx>
            <c:strRef>
              <c:f>'Exam Score &amp; Other Factors (2)'!$D$3</c:f>
              <c:strCache>
                <c:ptCount val="1"/>
                <c:pt idx="0">
                  <c:v>Attendance Rate</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62FA-4410-9C3F-4C0608D9A9E8}"/>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chart" Target="../charts/chart6.xml"/><Relationship Id="rId18" Type="http://schemas.openxmlformats.org/officeDocument/2006/relationships/image" Target="../media/image10.png"/><Relationship Id="rId3" Type="http://schemas.openxmlformats.org/officeDocument/2006/relationships/chart" Target="../charts/chart1.xml"/><Relationship Id="rId21" Type="http://schemas.openxmlformats.org/officeDocument/2006/relationships/image" Target="../media/image13.svg"/><Relationship Id="rId7" Type="http://schemas.openxmlformats.org/officeDocument/2006/relationships/image" Target="../media/image2.png"/><Relationship Id="rId12" Type="http://schemas.openxmlformats.org/officeDocument/2006/relationships/chart" Target="../charts/chart5.xml"/><Relationship Id="rId17" Type="http://schemas.openxmlformats.org/officeDocument/2006/relationships/image" Target="../media/image9.svg"/><Relationship Id="rId25" Type="http://schemas.openxmlformats.org/officeDocument/2006/relationships/image" Target="../media/image17.svg"/><Relationship Id="rId2" Type="http://schemas.microsoft.com/office/2007/relationships/hdphoto" Target="../media/hdphoto1.wdp"/><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svg"/><Relationship Id="rId24" Type="http://schemas.openxmlformats.org/officeDocument/2006/relationships/image" Target="../media/image16.png"/><Relationship Id="rId5" Type="http://schemas.openxmlformats.org/officeDocument/2006/relationships/chart" Target="../charts/chart3.xml"/><Relationship Id="rId15" Type="http://schemas.openxmlformats.org/officeDocument/2006/relationships/image" Target="../media/image7.svg"/><Relationship Id="rId23" Type="http://schemas.openxmlformats.org/officeDocument/2006/relationships/image" Target="../media/image15.svg"/><Relationship Id="rId10" Type="http://schemas.openxmlformats.org/officeDocument/2006/relationships/image" Target="../media/image4.png"/><Relationship Id="rId19" Type="http://schemas.openxmlformats.org/officeDocument/2006/relationships/image" Target="../media/image11.svg"/><Relationship Id="rId4" Type="http://schemas.openxmlformats.org/officeDocument/2006/relationships/chart" Target="../charts/chart2.xml"/><Relationship Id="rId9" Type="http://schemas.openxmlformats.org/officeDocument/2006/relationships/hyperlink" Target="#'Pre-analysis Board'!A1"/><Relationship Id="rId14" Type="http://schemas.openxmlformats.org/officeDocument/2006/relationships/image" Target="../media/image6.png"/><Relationship Id="rId22"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388188</xdr:colOff>
      <xdr:row>6</xdr:row>
      <xdr:rowOff>7052</xdr:rowOff>
    </xdr:from>
    <xdr:to>
      <xdr:col>3</xdr:col>
      <xdr:colOff>345056</xdr:colOff>
      <xdr:row>16</xdr:row>
      <xdr:rowOff>184508</xdr:rowOff>
    </xdr:to>
    <xdr:sp macro="" textlink="">
      <xdr:nvSpPr>
        <xdr:cNvPr id="69" name="Oval 68">
          <a:extLst>
            <a:ext uri="{FF2B5EF4-FFF2-40B4-BE49-F238E27FC236}">
              <a16:creationId xmlns:a16="http://schemas.microsoft.com/office/drawing/2014/main" id="{F34A530F-1DE1-5678-53CE-1F70793144EA}"/>
            </a:ext>
          </a:extLst>
        </xdr:cNvPr>
        <xdr:cNvSpPr/>
      </xdr:nvSpPr>
      <xdr:spPr>
        <a:xfrm>
          <a:off x="388188" y="1128486"/>
          <a:ext cx="1811547" cy="2046513"/>
        </a:xfrm>
        <a:prstGeom prst="ellipse">
          <a:avLst/>
        </a:prstGeom>
        <a:solidFill>
          <a:srgbClr val="0B1307"/>
        </a:solid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244416</xdr:colOff>
      <xdr:row>5</xdr:row>
      <xdr:rowOff>70462</xdr:rowOff>
    </xdr:from>
    <xdr:to>
      <xdr:col>3</xdr:col>
      <xdr:colOff>445699</xdr:colOff>
      <xdr:row>17</xdr:row>
      <xdr:rowOff>132031</xdr:rowOff>
    </xdr:to>
    <xdr:pic>
      <xdr:nvPicPr>
        <xdr:cNvPr id="45" name="Picture 44">
          <a:extLst>
            <a:ext uri="{FF2B5EF4-FFF2-40B4-BE49-F238E27FC236}">
              <a16:creationId xmlns:a16="http://schemas.microsoft.com/office/drawing/2014/main" id="{4CACC265-3896-2633-09EB-D034A339D78F}"/>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56000"/>
                  </a14:imgEffect>
                </a14:imgLayer>
              </a14:imgProps>
            </a:ext>
            <a:ext uri="{28A0092B-C50C-407E-A947-70E740481C1C}">
              <a14:useLocalDpi xmlns:a14="http://schemas.microsoft.com/office/drawing/2010/main" val="0"/>
            </a:ext>
          </a:extLst>
        </a:blip>
        <a:stretch>
          <a:fillRect/>
        </a:stretch>
      </xdr:blipFill>
      <xdr:spPr>
        <a:xfrm>
          <a:off x="244416" y="1004990"/>
          <a:ext cx="2055962" cy="2304437"/>
        </a:xfrm>
        <a:prstGeom prst="rect">
          <a:avLst/>
        </a:prstGeom>
      </xdr:spPr>
    </xdr:pic>
    <xdr:clientData/>
  </xdr:twoCellAnchor>
  <xdr:twoCellAnchor>
    <xdr:from>
      <xdr:col>0</xdr:col>
      <xdr:colOff>345057</xdr:colOff>
      <xdr:row>0</xdr:row>
      <xdr:rowOff>176570</xdr:rowOff>
    </xdr:from>
    <xdr:to>
      <xdr:col>43</xdr:col>
      <xdr:colOff>43132</xdr:colOff>
      <xdr:row>4</xdr:row>
      <xdr:rowOff>86262</xdr:rowOff>
    </xdr:to>
    <xdr:sp macro="" textlink="">
      <xdr:nvSpPr>
        <xdr:cNvPr id="2" name="Rectangle: Rounded Corners 1">
          <a:extLst>
            <a:ext uri="{FF2B5EF4-FFF2-40B4-BE49-F238E27FC236}">
              <a16:creationId xmlns:a16="http://schemas.microsoft.com/office/drawing/2014/main" id="{9417C767-F665-71B6-DF1A-654861AF5F05}"/>
            </a:ext>
          </a:extLst>
        </xdr:cNvPr>
        <xdr:cNvSpPr/>
      </xdr:nvSpPr>
      <xdr:spPr>
        <a:xfrm>
          <a:off x="345057" y="176570"/>
          <a:ext cx="26281811" cy="657315"/>
        </a:xfrm>
        <a:prstGeom prst="roundRect">
          <a:avLst>
            <a:gd name="adj" fmla="val 10741"/>
          </a:avLst>
        </a:prstGeom>
        <a:solidFill>
          <a:srgbClr val="17270F"/>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solidFill>
                <a:schemeClr val="accent6">
                  <a:lumMod val="60000"/>
                  <a:lumOff val="40000"/>
                </a:schemeClr>
              </a:solidFill>
              <a:latin typeface="Georgia" panose="02040502050405020303" pitchFamily="18" charset="0"/>
              <a:cs typeface="Times New Roman" panose="02020603050405020304" pitchFamily="18" charset="0"/>
            </a:rPr>
            <a:t>TENDER GROWTH LEARNER'S ACADEMY</a:t>
          </a:r>
          <a:r>
            <a:rPr lang="en-GB" sz="3600" b="1" baseline="0">
              <a:solidFill>
                <a:schemeClr val="accent6">
                  <a:lumMod val="60000"/>
                  <a:lumOff val="40000"/>
                </a:schemeClr>
              </a:solidFill>
              <a:latin typeface="Georgia" panose="02040502050405020303" pitchFamily="18" charset="0"/>
              <a:cs typeface="Times New Roman" panose="02020603050405020304" pitchFamily="18" charset="0"/>
            </a:rPr>
            <a:t> PERFORMANCE ANALYSIS, 2024 </a:t>
          </a:r>
          <a:r>
            <a:rPr lang="en-GB" sz="2800" b="1" baseline="0">
              <a:solidFill>
                <a:schemeClr val="accent6">
                  <a:lumMod val="60000"/>
                  <a:lumOff val="40000"/>
                </a:schemeClr>
              </a:solidFill>
              <a:latin typeface="Georgia" panose="02040502050405020303" pitchFamily="18" charset="0"/>
              <a:cs typeface="Times New Roman" panose="02020603050405020304" pitchFamily="18" charset="0"/>
            </a:rPr>
            <a:t>(Filtered by Top 5)</a:t>
          </a:r>
        </a:p>
        <a:p>
          <a:pPr algn="ctr"/>
          <a:endParaRPr lang="en-NG" sz="2000" b="1">
            <a:solidFill>
              <a:schemeClr val="accent6">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579265</xdr:colOff>
      <xdr:row>5</xdr:row>
      <xdr:rowOff>92943</xdr:rowOff>
    </xdr:from>
    <xdr:to>
      <xdr:col>9</xdr:col>
      <xdr:colOff>15969</xdr:colOff>
      <xdr:row>13</xdr:row>
      <xdr:rowOff>68531</xdr:rowOff>
    </xdr:to>
    <xdr:sp macro="" textlink="">
      <xdr:nvSpPr>
        <xdr:cNvPr id="3" name="Rectangle: Rounded Corners 2">
          <a:extLst>
            <a:ext uri="{FF2B5EF4-FFF2-40B4-BE49-F238E27FC236}">
              <a16:creationId xmlns:a16="http://schemas.microsoft.com/office/drawing/2014/main" id="{B9EEE443-9350-E9DE-8AEB-D8AE1B487762}"/>
            </a:ext>
          </a:extLst>
        </xdr:cNvPr>
        <xdr:cNvSpPr/>
      </xdr:nvSpPr>
      <xdr:spPr>
        <a:xfrm>
          <a:off x="2433944" y="1027471"/>
          <a:ext cx="3146063" cy="1470834"/>
        </a:xfrm>
        <a:prstGeom prst="roundRect">
          <a:avLst>
            <a:gd name="adj" fmla="val 9703"/>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Study Time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6.33</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3</xdr:col>
      <xdr:colOff>583972</xdr:colOff>
      <xdr:row>14</xdr:row>
      <xdr:rowOff>7511</xdr:rowOff>
    </xdr:from>
    <xdr:to>
      <xdr:col>9</xdr:col>
      <xdr:colOff>14377</xdr:colOff>
      <xdr:row>21</xdr:row>
      <xdr:rowOff>121571</xdr:rowOff>
    </xdr:to>
    <xdr:sp macro="" textlink="">
      <xdr:nvSpPr>
        <xdr:cNvPr id="24" name="Rectangle: Rounded Corners 23">
          <a:extLst>
            <a:ext uri="{FF2B5EF4-FFF2-40B4-BE49-F238E27FC236}">
              <a16:creationId xmlns:a16="http://schemas.microsoft.com/office/drawing/2014/main" id="{9A57B14A-086B-1B22-FD87-D2BD23C0E9DD}"/>
            </a:ext>
          </a:extLst>
        </xdr:cNvPr>
        <xdr:cNvSpPr/>
      </xdr:nvSpPr>
      <xdr:spPr>
        <a:xfrm>
          <a:off x="2438651" y="2624190"/>
          <a:ext cx="3139764" cy="1422400"/>
        </a:xfrm>
        <a:prstGeom prst="roundRect">
          <a:avLst>
            <a:gd name="adj" fmla="val 8523"/>
          </a:avLst>
        </a:prstGeom>
        <a:solidFill>
          <a:schemeClr val="accent6">
            <a:lumMod val="60000"/>
            <a:lumOff val="40000"/>
          </a:schemeClr>
        </a:solidFill>
        <a:ln w="6350">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Sleep Time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6.62</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9</xdr:col>
      <xdr:colOff>178429</xdr:colOff>
      <xdr:row>5</xdr:row>
      <xdr:rowOff>99205</xdr:rowOff>
    </xdr:from>
    <xdr:to>
      <xdr:col>15</xdr:col>
      <xdr:colOff>441234</xdr:colOff>
      <xdr:row>13</xdr:row>
      <xdr:rowOff>71145</xdr:rowOff>
    </xdr:to>
    <xdr:sp macro="" textlink="">
      <xdr:nvSpPr>
        <xdr:cNvPr id="25" name="Rectangle: Rounded Corners 24">
          <a:extLst>
            <a:ext uri="{FF2B5EF4-FFF2-40B4-BE49-F238E27FC236}">
              <a16:creationId xmlns:a16="http://schemas.microsoft.com/office/drawing/2014/main" id="{E73BD7DF-B197-EB19-E7D6-7988DD055F20}"/>
            </a:ext>
          </a:extLst>
        </xdr:cNvPr>
        <xdr:cNvSpPr/>
      </xdr:nvSpPr>
      <xdr:spPr>
        <a:xfrm>
          <a:off x="5742467" y="1033733"/>
          <a:ext cx="3972163" cy="1467186"/>
        </a:xfrm>
        <a:prstGeom prst="roundRect">
          <a:avLst>
            <a:gd name="adj" fmla="val 8547"/>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Highest Exam Score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51.3</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9</xdr:col>
      <xdr:colOff>184728</xdr:colOff>
      <xdr:row>14</xdr:row>
      <xdr:rowOff>4994</xdr:rowOff>
    </xdr:from>
    <xdr:to>
      <xdr:col>15</xdr:col>
      <xdr:colOff>445695</xdr:colOff>
      <xdr:row>21</xdr:row>
      <xdr:rowOff>121573</xdr:rowOff>
    </xdr:to>
    <xdr:sp macro="" textlink="">
      <xdr:nvSpPr>
        <xdr:cNvPr id="26" name="Rectangle: Rounded Corners 25">
          <a:extLst>
            <a:ext uri="{FF2B5EF4-FFF2-40B4-BE49-F238E27FC236}">
              <a16:creationId xmlns:a16="http://schemas.microsoft.com/office/drawing/2014/main" id="{48EC7684-FFB7-A0DE-DA2E-745CFBE8F2C4}"/>
            </a:ext>
          </a:extLst>
        </xdr:cNvPr>
        <xdr:cNvSpPr/>
      </xdr:nvSpPr>
      <xdr:spPr>
        <a:xfrm>
          <a:off x="5748766" y="2621673"/>
          <a:ext cx="3970325" cy="1424919"/>
        </a:xfrm>
        <a:prstGeom prst="roundRect">
          <a:avLst>
            <a:gd name="adj" fmla="val 7312"/>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Lowest Exam Score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17.1</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15</xdr:col>
      <xdr:colOff>613146</xdr:colOff>
      <xdr:row>14</xdr:row>
      <xdr:rowOff>19410</xdr:rowOff>
    </xdr:from>
    <xdr:to>
      <xdr:col>23</xdr:col>
      <xdr:colOff>493379</xdr:colOff>
      <xdr:row>21</xdr:row>
      <xdr:rowOff>160362</xdr:rowOff>
    </xdr:to>
    <xdr:sp macro="" textlink="">
      <xdr:nvSpPr>
        <xdr:cNvPr id="28" name="Rectangle: Rounded Corners 27">
          <a:extLst>
            <a:ext uri="{FF2B5EF4-FFF2-40B4-BE49-F238E27FC236}">
              <a16:creationId xmlns:a16="http://schemas.microsoft.com/office/drawing/2014/main" id="{3D4131F3-8B70-FA28-2DBB-2D9476738834}"/>
            </a:ext>
          </a:extLst>
        </xdr:cNvPr>
        <xdr:cNvSpPr/>
      </xdr:nvSpPr>
      <xdr:spPr>
        <a:xfrm>
          <a:off x="9886542" y="2636089"/>
          <a:ext cx="4826045" cy="1449292"/>
        </a:xfrm>
        <a:prstGeom prst="roundRect">
          <a:avLst>
            <a:gd name="adj" fmla="val 6110"/>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Individual</a:t>
          </a:r>
          <a:r>
            <a:rPr lang="en-GB" sz="2800" b="1" baseline="0">
              <a:solidFill>
                <a:srgbClr val="1F3214"/>
              </a:solidFill>
              <a:latin typeface="Georgia" panose="02040502050405020303" pitchFamily="18" charset="0"/>
              <a:cs typeface="Times New Roman" panose="02020603050405020304" pitchFamily="18" charset="0"/>
            </a:rPr>
            <a:t> Efficiency</a:t>
          </a:r>
          <a:endParaRPr lang="en-GB" sz="2800" b="1">
            <a:solidFill>
              <a:srgbClr val="1F3214"/>
            </a:solidFill>
            <a:latin typeface="Georgia" panose="02040502050405020303" pitchFamily="18" charset="0"/>
            <a:cs typeface="Times New Roman" panose="02020603050405020304" pitchFamily="18" charset="0"/>
          </a:endParaRP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7.17</a:t>
          </a:r>
          <a:endParaRPr lang="en-NG" sz="4200" b="1">
            <a:solidFill>
              <a:srgbClr val="1F3214"/>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158150</xdr:colOff>
      <xdr:row>5</xdr:row>
      <xdr:rowOff>86672</xdr:rowOff>
    </xdr:from>
    <xdr:to>
      <xdr:col>43</xdr:col>
      <xdr:colOff>57507</xdr:colOff>
      <xdr:row>21</xdr:row>
      <xdr:rowOff>157431</xdr:rowOff>
    </xdr:to>
    <xdr:graphicFrame macro="">
      <xdr:nvGraphicFramePr>
        <xdr:cNvPr id="41" name="Chart 40">
          <a:extLst>
            <a:ext uri="{FF2B5EF4-FFF2-40B4-BE49-F238E27FC236}">
              <a16:creationId xmlns:a16="http://schemas.microsoft.com/office/drawing/2014/main" id="{8F30D1C8-2374-445C-8896-9156DD224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575096</xdr:colOff>
      <xdr:row>45</xdr:row>
      <xdr:rowOff>157654</xdr:rowOff>
    </xdr:from>
    <xdr:to>
      <xdr:col>18</xdr:col>
      <xdr:colOff>316302</xdr:colOff>
      <xdr:row>67</xdr:row>
      <xdr:rowOff>100642</xdr:rowOff>
    </xdr:to>
    <xdr:graphicFrame macro="">
      <xdr:nvGraphicFramePr>
        <xdr:cNvPr id="50" name="Chart 49">
          <a:extLst>
            <a:ext uri="{FF2B5EF4-FFF2-40B4-BE49-F238E27FC236}">
              <a16:creationId xmlns:a16="http://schemas.microsoft.com/office/drawing/2014/main" id="{7DBE5390-AB17-60A4-36CD-80A334AE5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580794</xdr:colOff>
      <xdr:row>22</xdr:row>
      <xdr:rowOff>172527</xdr:rowOff>
    </xdr:from>
    <xdr:to>
      <xdr:col>16</xdr:col>
      <xdr:colOff>388187</xdr:colOff>
      <xdr:row>44</xdr:row>
      <xdr:rowOff>115019</xdr:rowOff>
    </xdr:to>
    <xdr:graphicFrame macro="">
      <xdr:nvGraphicFramePr>
        <xdr:cNvPr id="57" name="Chart 56">
          <a:extLst>
            <a:ext uri="{FF2B5EF4-FFF2-40B4-BE49-F238E27FC236}">
              <a16:creationId xmlns:a16="http://schemas.microsoft.com/office/drawing/2014/main" id="{C2678055-9574-4245-828D-07C85618F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589472</xdr:colOff>
      <xdr:row>45</xdr:row>
      <xdr:rowOff>158151</xdr:rowOff>
    </xdr:from>
    <xdr:to>
      <xdr:col>43</xdr:col>
      <xdr:colOff>54792</xdr:colOff>
      <xdr:row>67</xdr:row>
      <xdr:rowOff>107393</xdr:rowOff>
    </xdr:to>
    <xdr:graphicFrame macro="">
      <xdr:nvGraphicFramePr>
        <xdr:cNvPr id="63" name="Chart 62">
          <a:extLst>
            <a:ext uri="{FF2B5EF4-FFF2-40B4-BE49-F238E27FC236}">
              <a16:creationId xmlns:a16="http://schemas.microsoft.com/office/drawing/2014/main" id="{ACA6364A-5249-4BB5-84F5-B8DE02F88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402566</xdr:colOff>
      <xdr:row>37</xdr:row>
      <xdr:rowOff>86264</xdr:rowOff>
    </xdr:from>
    <xdr:to>
      <xdr:col>3</xdr:col>
      <xdr:colOff>316304</xdr:colOff>
      <xdr:row>65</xdr:row>
      <xdr:rowOff>143774</xdr:rowOff>
    </xdr:to>
    <mc:AlternateContent xmlns:mc="http://schemas.openxmlformats.org/markup-compatibility/2006" xmlns:a14="http://schemas.microsoft.com/office/drawing/2010/main">
      <mc:Choice Requires="a14">
        <xdr:graphicFrame macro="">
          <xdr:nvGraphicFramePr>
            <xdr:cNvPr id="64" name="student_id">
              <a:extLst>
                <a:ext uri="{FF2B5EF4-FFF2-40B4-BE49-F238E27FC236}">
                  <a16:creationId xmlns:a16="http://schemas.microsoft.com/office/drawing/2014/main" id="{23C6AC22-0BA6-B5B8-A485-29568A5BDDD1}"/>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402566" y="7001773"/>
              <a:ext cx="1768417" cy="5290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486365</xdr:colOff>
      <xdr:row>24</xdr:row>
      <xdr:rowOff>103149</xdr:rowOff>
    </xdr:from>
    <xdr:to>
      <xdr:col>3</xdr:col>
      <xdr:colOff>359435</xdr:colOff>
      <xdr:row>26</xdr:row>
      <xdr:rowOff>115019</xdr:rowOff>
    </xdr:to>
    <xdr:sp macro="" textlink="">
      <xdr:nvSpPr>
        <xdr:cNvPr id="70" name="TextBox 69">
          <a:extLst>
            <a:ext uri="{FF2B5EF4-FFF2-40B4-BE49-F238E27FC236}">
              <a16:creationId xmlns:a16="http://schemas.microsoft.com/office/drawing/2014/main" id="{0FDCA658-C79C-A1BA-CA3F-DDD217A68186}"/>
            </a:ext>
          </a:extLst>
        </xdr:cNvPr>
        <xdr:cNvSpPr txBox="1"/>
      </xdr:nvSpPr>
      <xdr:spPr>
        <a:xfrm>
          <a:off x="486365" y="4588885"/>
          <a:ext cx="1727749" cy="385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1F3214"/>
              </a:solidFill>
              <a:latin typeface="Georgia" panose="02040502050405020303" pitchFamily="18" charset="0"/>
              <a:cs typeface="Times New Roman" panose="02020603050405020304" pitchFamily="18" charset="0"/>
            </a:rPr>
            <a:t>Learn</a:t>
          </a:r>
          <a:r>
            <a:rPr lang="en-GB" sz="2000" b="1" baseline="0">
              <a:solidFill>
                <a:srgbClr val="1F3214"/>
              </a:solidFill>
              <a:latin typeface="Georgia" panose="02040502050405020303" pitchFamily="18" charset="0"/>
              <a:cs typeface="Times New Roman" panose="02020603050405020304" pitchFamily="18" charset="0"/>
            </a:rPr>
            <a:t> More</a:t>
          </a:r>
          <a:endParaRPr lang="en-NG" sz="2000" b="1">
            <a:solidFill>
              <a:srgbClr val="1F3214"/>
            </a:solidFill>
            <a:latin typeface="Georgia" panose="02040502050405020303" pitchFamily="18" charset="0"/>
            <a:cs typeface="Times New Roman" panose="02020603050405020304" pitchFamily="18" charset="0"/>
          </a:endParaRPr>
        </a:p>
      </xdr:txBody>
    </xdr:sp>
    <xdr:clientData/>
  </xdr:twoCellAnchor>
  <xdr:twoCellAnchor editAs="oneCell">
    <xdr:from>
      <xdr:col>1</xdr:col>
      <xdr:colOff>95695</xdr:colOff>
      <xdr:row>28</xdr:row>
      <xdr:rowOff>70950</xdr:rowOff>
    </xdr:from>
    <xdr:to>
      <xdr:col>3</xdr:col>
      <xdr:colOff>14379</xdr:colOff>
      <xdr:row>34</xdr:row>
      <xdr:rowOff>28172</xdr:rowOff>
    </xdr:to>
    <xdr:pic>
      <xdr:nvPicPr>
        <xdr:cNvPr id="72" name="Graphic 71" descr="Chat with solid fill">
          <a:extLst>
            <a:ext uri="{FF2B5EF4-FFF2-40B4-BE49-F238E27FC236}">
              <a16:creationId xmlns:a16="http://schemas.microsoft.com/office/drawing/2014/main" id="{A41F1B2B-2F78-8B96-13D6-6E28B321DA3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13921" y="5304308"/>
          <a:ext cx="1155137" cy="1078656"/>
        </a:xfrm>
        <a:prstGeom prst="rect">
          <a:avLst/>
        </a:prstGeom>
      </xdr:spPr>
    </xdr:pic>
    <xdr:clientData/>
  </xdr:twoCellAnchor>
  <xdr:twoCellAnchor>
    <xdr:from>
      <xdr:col>0</xdr:col>
      <xdr:colOff>448038</xdr:colOff>
      <xdr:row>33</xdr:row>
      <xdr:rowOff>25055</xdr:rowOff>
    </xdr:from>
    <xdr:to>
      <xdr:col>3</xdr:col>
      <xdr:colOff>273173</xdr:colOff>
      <xdr:row>35</xdr:row>
      <xdr:rowOff>6754</xdr:rowOff>
    </xdr:to>
    <xdr:sp macro="" textlink="">
      <xdr:nvSpPr>
        <xdr:cNvPr id="73" name="TextBox 72">
          <a:extLst>
            <a:ext uri="{FF2B5EF4-FFF2-40B4-BE49-F238E27FC236}">
              <a16:creationId xmlns:a16="http://schemas.microsoft.com/office/drawing/2014/main" id="{CAFDD212-9C8B-C9C9-D3EB-8D62A21DA280}"/>
            </a:ext>
          </a:extLst>
        </xdr:cNvPr>
        <xdr:cNvSpPr txBox="1"/>
      </xdr:nvSpPr>
      <xdr:spPr>
        <a:xfrm>
          <a:off x="448038" y="6192942"/>
          <a:ext cx="1679814" cy="35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1F3214"/>
              </a:solidFill>
              <a:latin typeface="Georgia" panose="02040502050405020303" pitchFamily="18" charset="0"/>
              <a:cs typeface="Times New Roman" panose="02020603050405020304" pitchFamily="18" charset="0"/>
            </a:rPr>
            <a:t>Enquiries</a:t>
          </a:r>
          <a:endParaRPr lang="en-NG" sz="20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0</xdr:col>
      <xdr:colOff>358036</xdr:colOff>
      <xdr:row>65</xdr:row>
      <xdr:rowOff>143124</xdr:rowOff>
    </xdr:from>
    <xdr:to>
      <xdr:col>3</xdr:col>
      <xdr:colOff>373813</xdr:colOff>
      <xdr:row>67</xdr:row>
      <xdr:rowOff>93022</xdr:rowOff>
    </xdr:to>
    <xdr:sp macro="" textlink="">
      <xdr:nvSpPr>
        <xdr:cNvPr id="74" name="TextBox 73">
          <a:extLst>
            <a:ext uri="{FF2B5EF4-FFF2-40B4-BE49-F238E27FC236}">
              <a16:creationId xmlns:a16="http://schemas.microsoft.com/office/drawing/2014/main" id="{4F5B7E35-B2B9-9A91-B627-4F3B5FC98609}"/>
            </a:ext>
          </a:extLst>
        </xdr:cNvPr>
        <xdr:cNvSpPr txBox="1"/>
      </xdr:nvSpPr>
      <xdr:spPr>
        <a:xfrm>
          <a:off x="358036" y="12291992"/>
          <a:ext cx="1870456" cy="323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1F3214"/>
              </a:solidFill>
              <a:latin typeface="Georgia" panose="02040502050405020303" pitchFamily="18" charset="0"/>
              <a:cs typeface="Times New Roman" panose="02020603050405020304" pitchFamily="18" charset="0"/>
            </a:rPr>
            <a:t>By Enna Analytics</a:t>
          </a:r>
        </a:p>
      </xdr:txBody>
    </xdr:sp>
    <xdr:clientData/>
  </xdr:twoCellAnchor>
  <xdr:twoCellAnchor editAs="oneCell">
    <xdr:from>
      <xdr:col>1</xdr:col>
      <xdr:colOff>215661</xdr:colOff>
      <xdr:row>19</xdr:row>
      <xdr:rowOff>70741</xdr:rowOff>
    </xdr:from>
    <xdr:to>
      <xdr:col>2</xdr:col>
      <xdr:colOff>616362</xdr:colOff>
      <xdr:row>24</xdr:row>
      <xdr:rowOff>100640</xdr:rowOff>
    </xdr:to>
    <xdr:pic>
      <xdr:nvPicPr>
        <xdr:cNvPr id="76" name="Graphic 75" descr="Information with solid fill">
          <a:hlinkClick xmlns:r="http://schemas.openxmlformats.org/officeDocument/2006/relationships" r:id="rId9"/>
          <a:extLst>
            <a:ext uri="{FF2B5EF4-FFF2-40B4-BE49-F238E27FC236}">
              <a16:creationId xmlns:a16="http://schemas.microsoft.com/office/drawing/2014/main" id="{4E6B82F2-7CC2-34D1-B5CC-CC3EC66E4BC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33887" y="3621949"/>
          <a:ext cx="1018928" cy="964427"/>
        </a:xfrm>
        <a:prstGeom prst="rect">
          <a:avLst/>
        </a:prstGeom>
      </xdr:spPr>
    </xdr:pic>
    <xdr:clientData/>
  </xdr:twoCellAnchor>
  <xdr:twoCellAnchor>
    <xdr:from>
      <xdr:col>17</xdr:col>
      <xdr:colOff>61105</xdr:colOff>
      <xdr:row>22</xdr:row>
      <xdr:rowOff>167086</xdr:rowOff>
    </xdr:from>
    <xdr:to>
      <xdr:col>29</xdr:col>
      <xdr:colOff>503207</xdr:colOff>
      <xdr:row>44</xdr:row>
      <xdr:rowOff>115020</xdr:rowOff>
    </xdr:to>
    <xdr:graphicFrame macro="">
      <xdr:nvGraphicFramePr>
        <xdr:cNvPr id="38" name="Chart 37">
          <a:extLst>
            <a:ext uri="{FF2B5EF4-FFF2-40B4-BE49-F238E27FC236}">
              <a16:creationId xmlns:a16="http://schemas.microsoft.com/office/drawing/2014/main" id="{D1905E3D-AAB4-48A9-9228-75D396408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158151</xdr:colOff>
      <xdr:row>22</xdr:row>
      <xdr:rowOff>164476</xdr:rowOff>
    </xdr:from>
    <xdr:to>
      <xdr:col>43</xdr:col>
      <xdr:colOff>28755</xdr:colOff>
      <xdr:row>44</xdr:row>
      <xdr:rowOff>129395</xdr:rowOff>
    </xdr:to>
    <xdr:graphicFrame macro="">
      <xdr:nvGraphicFramePr>
        <xdr:cNvPr id="37" name="Chart 36">
          <a:extLst>
            <a:ext uri="{FF2B5EF4-FFF2-40B4-BE49-F238E27FC236}">
              <a16:creationId xmlns:a16="http://schemas.microsoft.com/office/drawing/2014/main" id="{78015809-6A99-451B-B2F3-8ACB049BB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604368</xdr:colOff>
      <xdr:row>5</xdr:row>
      <xdr:rowOff>96805</xdr:rowOff>
    </xdr:from>
    <xdr:to>
      <xdr:col>23</xdr:col>
      <xdr:colOff>480679</xdr:colOff>
      <xdr:row>13</xdr:row>
      <xdr:rowOff>65543</xdr:rowOff>
    </xdr:to>
    <xdr:sp macro="" textlink="">
      <xdr:nvSpPr>
        <xdr:cNvPr id="27" name="Rectangle: Rounded Corners 26">
          <a:extLst>
            <a:ext uri="{FF2B5EF4-FFF2-40B4-BE49-F238E27FC236}">
              <a16:creationId xmlns:a16="http://schemas.microsoft.com/office/drawing/2014/main" id="{F19A0944-DEAE-1116-6C62-513D95938E4C}"/>
            </a:ext>
          </a:extLst>
        </xdr:cNvPr>
        <xdr:cNvSpPr/>
      </xdr:nvSpPr>
      <xdr:spPr>
        <a:xfrm>
          <a:off x="9877764" y="1031333"/>
          <a:ext cx="4822123" cy="1463984"/>
        </a:xfrm>
        <a:prstGeom prst="roundRect">
          <a:avLst>
            <a:gd name="adj" fmla="val 7298"/>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Overall Study Efficiency</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5.37</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5</xdr:col>
      <xdr:colOff>503203</xdr:colOff>
      <xdr:row>23</xdr:row>
      <xdr:rowOff>43133</xdr:rowOff>
    </xdr:from>
    <xdr:to>
      <xdr:col>15</xdr:col>
      <xdr:colOff>143772</xdr:colOff>
      <xdr:row>26</xdr:row>
      <xdr:rowOff>86263</xdr:rowOff>
    </xdr:to>
    <xdr:sp macro="" textlink="">
      <xdr:nvSpPr>
        <xdr:cNvPr id="13" name="TextBox 12">
          <a:extLst>
            <a:ext uri="{FF2B5EF4-FFF2-40B4-BE49-F238E27FC236}">
              <a16:creationId xmlns:a16="http://schemas.microsoft.com/office/drawing/2014/main" id="{03C73736-AD5C-CF5B-9DF4-C1D94739C470}"/>
            </a:ext>
          </a:extLst>
        </xdr:cNvPr>
        <xdr:cNvSpPr txBox="1"/>
      </xdr:nvSpPr>
      <xdr:spPr>
        <a:xfrm>
          <a:off x="3594335" y="4341963"/>
          <a:ext cx="5822833" cy="60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1" i="0" baseline="0">
              <a:solidFill>
                <a:srgbClr val="A9D08E"/>
              </a:solidFill>
              <a:effectLst/>
              <a:latin typeface="Georgia" panose="02040502050405020303" pitchFamily="18" charset="0"/>
              <a:ea typeface="+mn-ea"/>
              <a:cs typeface="+mn-cs"/>
            </a:rPr>
            <a:t>Efficiency Weight Distribution</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xdr:from>
      <xdr:col>17</xdr:col>
      <xdr:colOff>540584</xdr:colOff>
      <xdr:row>23</xdr:row>
      <xdr:rowOff>37384</xdr:rowOff>
    </xdr:from>
    <xdr:to>
      <xdr:col>29</xdr:col>
      <xdr:colOff>28752</xdr:colOff>
      <xdr:row>28</xdr:row>
      <xdr:rowOff>115018</xdr:rowOff>
    </xdr:to>
    <xdr:sp macro="" textlink="">
      <xdr:nvSpPr>
        <xdr:cNvPr id="14" name="TextBox 13">
          <a:extLst>
            <a:ext uri="{FF2B5EF4-FFF2-40B4-BE49-F238E27FC236}">
              <a16:creationId xmlns:a16="http://schemas.microsoft.com/office/drawing/2014/main" id="{972E1763-5B57-469E-B5F7-9EC3CF906B37}"/>
            </a:ext>
          </a:extLst>
        </xdr:cNvPr>
        <xdr:cNvSpPr txBox="1"/>
      </xdr:nvSpPr>
      <xdr:spPr>
        <a:xfrm>
          <a:off x="11050433" y="4336214"/>
          <a:ext cx="6906885" cy="101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2800" b="1" i="0" baseline="0">
              <a:solidFill>
                <a:srgbClr val="A9D08E"/>
              </a:solidFill>
              <a:effectLst/>
              <a:latin typeface="Georgia" panose="02040502050405020303" pitchFamily="18" charset="0"/>
              <a:ea typeface="+mn-ea"/>
              <a:cs typeface="+mn-cs"/>
            </a:rPr>
            <a:t>Top 5 Students with the Highest Study Efficiency Weight</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xdr:from>
      <xdr:col>30</xdr:col>
      <xdr:colOff>549211</xdr:colOff>
      <xdr:row>23</xdr:row>
      <xdr:rowOff>31630</xdr:rowOff>
    </xdr:from>
    <xdr:to>
      <xdr:col>42</xdr:col>
      <xdr:colOff>345057</xdr:colOff>
      <xdr:row>28</xdr:row>
      <xdr:rowOff>57508</xdr:rowOff>
    </xdr:to>
    <xdr:sp macro="" textlink="">
      <xdr:nvSpPr>
        <xdr:cNvPr id="15" name="TextBox 14">
          <a:extLst>
            <a:ext uri="{FF2B5EF4-FFF2-40B4-BE49-F238E27FC236}">
              <a16:creationId xmlns:a16="http://schemas.microsoft.com/office/drawing/2014/main" id="{35E24E9F-9E88-2F22-1E88-C3223A1CB26E}"/>
            </a:ext>
          </a:extLst>
        </xdr:cNvPr>
        <xdr:cNvSpPr txBox="1"/>
      </xdr:nvSpPr>
      <xdr:spPr>
        <a:xfrm>
          <a:off x="19096003" y="4330460"/>
          <a:ext cx="7214563" cy="9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A9D08E"/>
              </a:solidFill>
              <a:effectLst/>
              <a:latin typeface="Georgia" panose="02040502050405020303" pitchFamily="18" charset="0"/>
              <a:ea typeface="+mn-ea"/>
              <a:cs typeface="+mn-cs"/>
            </a:rPr>
            <a:t>Correlation between Attendance and Study Efficiency</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editAs="oneCell">
    <xdr:from>
      <xdr:col>17</xdr:col>
      <xdr:colOff>353208</xdr:colOff>
      <xdr:row>17</xdr:row>
      <xdr:rowOff>49867</xdr:rowOff>
    </xdr:from>
    <xdr:to>
      <xdr:col>18</xdr:col>
      <xdr:colOff>478302</xdr:colOff>
      <xdr:row>22</xdr:row>
      <xdr:rowOff>37358</xdr:rowOff>
    </xdr:to>
    <xdr:pic>
      <xdr:nvPicPr>
        <xdr:cNvPr id="5" name="Graphic 4" descr="Open book with solid fill">
          <a:extLst>
            <a:ext uri="{FF2B5EF4-FFF2-40B4-BE49-F238E27FC236}">
              <a16:creationId xmlns:a16="http://schemas.microsoft.com/office/drawing/2014/main" id="{A099C266-4412-EA45-F775-568CA14ED4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0863057" y="3227263"/>
          <a:ext cx="743320" cy="922020"/>
        </a:xfrm>
        <a:prstGeom prst="rect">
          <a:avLst/>
        </a:prstGeom>
      </xdr:spPr>
    </xdr:pic>
    <xdr:clientData/>
  </xdr:twoCellAnchor>
  <xdr:twoCellAnchor editAs="oneCell">
    <xdr:from>
      <xdr:col>17</xdr:col>
      <xdr:colOff>330680</xdr:colOff>
      <xdr:row>9</xdr:row>
      <xdr:rowOff>14378</xdr:rowOff>
    </xdr:from>
    <xdr:to>
      <xdr:col>18</xdr:col>
      <xdr:colOff>455774</xdr:colOff>
      <xdr:row>13</xdr:row>
      <xdr:rowOff>57963</xdr:rowOff>
    </xdr:to>
    <xdr:pic>
      <xdr:nvPicPr>
        <xdr:cNvPr id="7" name="Graphic 6" descr="Books with solid fill">
          <a:extLst>
            <a:ext uri="{FF2B5EF4-FFF2-40B4-BE49-F238E27FC236}">
              <a16:creationId xmlns:a16="http://schemas.microsoft.com/office/drawing/2014/main" id="{EFB5DA81-3D98-C385-C8F0-3B26E00C368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10840529" y="1696529"/>
          <a:ext cx="743320" cy="791208"/>
        </a:xfrm>
        <a:prstGeom prst="rect">
          <a:avLst/>
        </a:prstGeom>
      </xdr:spPr>
    </xdr:pic>
    <xdr:clientData/>
  </xdr:twoCellAnchor>
  <xdr:twoCellAnchor editAs="oneCell">
    <xdr:from>
      <xdr:col>10</xdr:col>
      <xdr:colOff>236265</xdr:colOff>
      <xdr:row>16</xdr:row>
      <xdr:rowOff>170580</xdr:rowOff>
    </xdr:from>
    <xdr:to>
      <xdr:col>11</xdr:col>
      <xdr:colOff>361358</xdr:colOff>
      <xdr:row>21</xdr:row>
      <xdr:rowOff>71887</xdr:rowOff>
    </xdr:to>
    <xdr:pic>
      <xdr:nvPicPr>
        <xdr:cNvPr id="9" name="Graphic 8" descr="Bar graph with downward trend with solid fill">
          <a:extLst>
            <a:ext uri="{FF2B5EF4-FFF2-40B4-BE49-F238E27FC236}">
              <a16:creationId xmlns:a16="http://schemas.microsoft.com/office/drawing/2014/main" id="{57D0ABEC-8C5C-BDC7-CBB4-662C52F278B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H="1">
          <a:off x="6418529" y="3161071"/>
          <a:ext cx="743320" cy="835835"/>
        </a:xfrm>
        <a:prstGeom prst="rect">
          <a:avLst/>
        </a:prstGeom>
      </xdr:spPr>
    </xdr:pic>
    <xdr:clientData/>
  </xdr:twoCellAnchor>
  <xdr:twoCellAnchor editAs="oneCell">
    <xdr:from>
      <xdr:col>10</xdr:col>
      <xdr:colOff>199360</xdr:colOff>
      <xdr:row>9</xdr:row>
      <xdr:rowOff>18653</xdr:rowOff>
    </xdr:from>
    <xdr:to>
      <xdr:col>11</xdr:col>
      <xdr:colOff>324453</xdr:colOff>
      <xdr:row>13</xdr:row>
      <xdr:rowOff>64263</xdr:rowOff>
    </xdr:to>
    <xdr:pic>
      <xdr:nvPicPr>
        <xdr:cNvPr id="11" name="Graphic 10" descr="Bar graph with upward trend with solid fill">
          <a:extLst>
            <a:ext uri="{FF2B5EF4-FFF2-40B4-BE49-F238E27FC236}">
              <a16:creationId xmlns:a16="http://schemas.microsoft.com/office/drawing/2014/main" id="{C51F230A-26A8-ACB5-9999-5C7CC73228B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381624" y="1700804"/>
          <a:ext cx="743320" cy="793233"/>
        </a:xfrm>
        <a:prstGeom prst="rect">
          <a:avLst/>
        </a:prstGeom>
      </xdr:spPr>
    </xdr:pic>
    <xdr:clientData/>
  </xdr:twoCellAnchor>
  <xdr:twoCellAnchor editAs="oneCell">
    <xdr:from>
      <xdr:col>4</xdr:col>
      <xdr:colOff>244415</xdr:colOff>
      <xdr:row>17</xdr:row>
      <xdr:rowOff>28754</xdr:rowOff>
    </xdr:from>
    <xdr:to>
      <xdr:col>5</xdr:col>
      <xdr:colOff>301499</xdr:colOff>
      <xdr:row>21</xdr:row>
      <xdr:rowOff>119772</xdr:rowOff>
    </xdr:to>
    <xdr:pic>
      <xdr:nvPicPr>
        <xdr:cNvPr id="16" name="Graphic 15" descr="Sleep with solid fill">
          <a:extLst>
            <a:ext uri="{FF2B5EF4-FFF2-40B4-BE49-F238E27FC236}">
              <a16:creationId xmlns:a16="http://schemas.microsoft.com/office/drawing/2014/main" id="{D366A9BA-AF4E-64FE-69C0-A0815285134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flipH="1">
          <a:off x="2717321" y="3206150"/>
          <a:ext cx="675310" cy="838641"/>
        </a:xfrm>
        <a:prstGeom prst="rect">
          <a:avLst/>
        </a:prstGeom>
      </xdr:spPr>
    </xdr:pic>
    <xdr:clientData/>
  </xdr:twoCellAnchor>
  <xdr:twoCellAnchor editAs="oneCell">
    <xdr:from>
      <xdr:col>4</xdr:col>
      <xdr:colOff>197434</xdr:colOff>
      <xdr:row>8</xdr:row>
      <xdr:rowOff>143773</xdr:rowOff>
    </xdr:from>
    <xdr:to>
      <xdr:col>5</xdr:col>
      <xdr:colOff>322528</xdr:colOff>
      <xdr:row>12</xdr:row>
      <xdr:rowOff>154753</xdr:rowOff>
    </xdr:to>
    <xdr:pic>
      <xdr:nvPicPr>
        <xdr:cNvPr id="18" name="Graphic 17" descr="Stopwatch with solid fill">
          <a:extLst>
            <a:ext uri="{FF2B5EF4-FFF2-40B4-BE49-F238E27FC236}">
              <a16:creationId xmlns:a16="http://schemas.microsoft.com/office/drawing/2014/main" id="{904CE220-C07F-044E-AD0E-32855370317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flipH="1">
          <a:off x="2670340" y="1639018"/>
          <a:ext cx="743320" cy="7586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163831</xdr:colOff>
      <xdr:row>1</xdr:row>
      <xdr:rowOff>0</xdr:rowOff>
    </xdr:from>
    <xdr:to>
      <xdr:col>16</xdr:col>
      <xdr:colOff>312420</xdr:colOff>
      <xdr:row>26</xdr:row>
      <xdr:rowOff>144780</xdr:rowOff>
    </xdr:to>
    <xdr:sp macro="" textlink="">
      <xdr:nvSpPr>
        <xdr:cNvPr id="2" name="Rectangle: Single Corner Rounded 1">
          <a:extLst>
            <a:ext uri="{FF2B5EF4-FFF2-40B4-BE49-F238E27FC236}">
              <a16:creationId xmlns:a16="http://schemas.microsoft.com/office/drawing/2014/main" id="{4EE38DE8-AEFC-4F45-8DFD-CB5A92FDFC63}"/>
            </a:ext>
          </a:extLst>
        </xdr:cNvPr>
        <xdr:cNvSpPr/>
      </xdr:nvSpPr>
      <xdr:spPr>
        <a:xfrm>
          <a:off x="163831" y="182880"/>
          <a:ext cx="11037569" cy="4716780"/>
        </a:xfrm>
        <a:prstGeom prst="round1Rect">
          <a:avLst>
            <a:gd name="adj" fmla="val 5117"/>
          </a:avLst>
        </a:prstGeom>
        <a:solidFill>
          <a:srgbClr val="304A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accent6">
                  <a:lumMod val="40000"/>
                  <a:lumOff val="60000"/>
                </a:schemeClr>
              </a:solidFill>
              <a:latin typeface="Times New Roman" panose="02020603050405020304" pitchFamily="18" charset="0"/>
              <a:cs typeface="Times New Roman" panose="02020603050405020304" pitchFamily="18" charset="0"/>
            </a:rPr>
            <a:t>Post-Analysis Observations</a:t>
          </a:r>
        </a:p>
        <a:p>
          <a:pPr algn="ctr"/>
          <a:endParaRPr lang="en-GB" sz="1400" b="1">
            <a:solidFill>
              <a:schemeClr val="accent6">
                <a:lumMod val="40000"/>
                <a:lumOff val="60000"/>
              </a:schemeClr>
            </a:solidFill>
            <a:latin typeface="Times New Roman" panose="02020603050405020304" pitchFamily="18" charset="0"/>
            <a:cs typeface="Times New Roman" panose="02020603050405020304" pitchFamily="18" charset="0"/>
          </a:endParaRPr>
        </a:p>
        <a:p>
          <a:pPr algn="ctr"/>
          <a:endParaRPr lang="en-GB" b="1">
            <a:solidFill>
              <a:schemeClr val="accent6">
                <a:lumMod val="40000"/>
                <a:lumOff val="60000"/>
              </a:schemeClr>
            </a:solidFill>
            <a:latin typeface="Times New Roman" panose="02020603050405020304" pitchFamily="18" charset="0"/>
            <a:cs typeface="Times New Roman" panose="02020603050405020304" pitchFamily="18" charset="0"/>
          </a:endParaRPr>
        </a:p>
        <a:p>
          <a:r>
            <a:rPr lang="en-GB" sz="1200" b="1">
              <a:solidFill>
                <a:schemeClr val="accent6">
                  <a:lumMod val="40000"/>
                  <a:lumOff val="60000"/>
                </a:schemeClr>
              </a:solidFill>
            </a:rPr>
            <a:t>1)</a:t>
          </a:r>
          <a:r>
            <a:rPr lang="en-GB" sz="1200" b="1" baseline="0">
              <a:solidFill>
                <a:schemeClr val="accent6">
                  <a:lumMod val="40000"/>
                  <a:lumOff val="60000"/>
                </a:schemeClr>
              </a:solidFill>
            </a:rPr>
            <a:t> </a:t>
          </a:r>
          <a:r>
            <a:rPr lang="en-GB" sz="1200" b="1">
              <a:solidFill>
                <a:schemeClr val="accent6">
                  <a:lumMod val="40000"/>
                  <a:lumOff val="60000"/>
                </a:schemeClr>
              </a:solidFill>
            </a:rPr>
            <a:t>Study &amp; Sleep Patterns:</a:t>
          </a:r>
          <a:r>
            <a:rPr lang="en-GB" sz="1200" b="1" baseline="0">
              <a:solidFill>
                <a:schemeClr val="accent6">
                  <a:lumMod val="40000"/>
                  <a:lumOff val="60000"/>
                </a:schemeClr>
              </a:solidFill>
            </a:rPr>
            <a:t> </a:t>
          </a:r>
        </a:p>
        <a:p>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a)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Average study time is 6.33 hrs</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per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day, while average sleep is 6.62 hrs</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per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day.</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This is</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 fairly balanced. Although, some students may be under-studying or over-sleeping.</a:t>
          </a:r>
        </a:p>
        <a:p>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b)</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Wide variation exists (lowest exam score = 17.1, highest = 51.3) despite similar study times.</a:t>
          </a:r>
        </a:p>
        <a:p>
          <a:endParaRPr lang="en-GB" sz="1200" b="0">
            <a:solidFill>
              <a:schemeClr val="accent6">
                <a:lumMod val="40000"/>
                <a:lumOff val="60000"/>
              </a:schemeClr>
            </a:solidFill>
          </a:endParaRPr>
        </a:p>
        <a:p>
          <a:r>
            <a:rPr lang="en-GB" sz="1200" b="1">
              <a:solidFill>
                <a:schemeClr val="accent6">
                  <a:lumMod val="40000"/>
                  <a:lumOff val="60000"/>
                </a:schemeClr>
              </a:solidFill>
            </a:rPr>
            <a:t>2) Study Efficiency:</a:t>
          </a:r>
        </a:p>
        <a:p>
          <a:r>
            <a:rPr lang="en-GB" sz="1200" b="0">
              <a:solidFill>
                <a:schemeClr val="accent6">
                  <a:lumMod val="40000"/>
                  <a:lumOff val="60000"/>
                </a:schemeClr>
              </a:solidFill>
            </a:rPr>
            <a:t>a)</a:t>
          </a:r>
          <a:r>
            <a:rPr lang="en-GB" sz="1200" b="0" baseline="0">
              <a:solidFill>
                <a:schemeClr val="accent6">
                  <a:lumMod val="40000"/>
                  <a:lumOff val="60000"/>
                </a:schemeClr>
              </a:solidFill>
            </a:rPr>
            <a:t> </a:t>
          </a:r>
          <a:r>
            <a:rPr lang="en-GB" sz="1200" b="0">
              <a:solidFill>
                <a:schemeClr val="accent6">
                  <a:lumMod val="40000"/>
                  <a:lumOff val="60000"/>
                </a:schemeClr>
              </a:solidFill>
            </a:rPr>
            <a:t>Overall study efficiency = 5.37, but average individual efficiency = 7.17 → suggests that some students are pulling the overall average down (students with very low efficiency).</a:t>
          </a:r>
        </a:p>
        <a:p>
          <a:r>
            <a:rPr lang="en-GB" sz="1200" b="0">
              <a:solidFill>
                <a:schemeClr val="accent6">
                  <a:lumMod val="40000"/>
                  <a:lumOff val="60000"/>
                </a:schemeClr>
              </a:solidFill>
            </a:rPr>
            <a:t>b)A few students (S101, S033, S068, S127, S125) consistently show high study efficiency regardless of hours studied.</a:t>
          </a:r>
        </a:p>
        <a:p>
          <a:endParaRPr lang="en-GB" sz="1200" b="0">
            <a:solidFill>
              <a:schemeClr val="accent6">
                <a:lumMod val="40000"/>
                <a:lumOff val="60000"/>
              </a:schemeClr>
            </a:solidFill>
          </a:endParaRPr>
        </a:p>
        <a:p>
          <a:r>
            <a:rPr lang="en-GB" sz="1200" b="1">
              <a:solidFill>
                <a:schemeClr val="accent6">
                  <a:lumMod val="40000"/>
                  <a:lumOff val="60000"/>
                </a:schemeClr>
              </a:solidFill>
            </a:rPr>
            <a:t>3) Exam Performance:</a:t>
          </a:r>
        </a:p>
        <a:p>
          <a:r>
            <a:rPr lang="en-GB" sz="1200" b="0">
              <a:solidFill>
                <a:schemeClr val="accent6">
                  <a:lumMod val="40000"/>
                  <a:lumOff val="60000"/>
                </a:schemeClr>
              </a:solidFill>
            </a:rPr>
            <a:t>a)</a:t>
          </a:r>
          <a:r>
            <a:rPr lang="en-GB" sz="1200" b="0" baseline="0">
              <a:solidFill>
                <a:schemeClr val="accent6">
                  <a:lumMod val="40000"/>
                  <a:lumOff val="60000"/>
                </a:schemeClr>
              </a:solidFill>
            </a:rPr>
            <a:t> </a:t>
          </a:r>
          <a:r>
            <a:rPr lang="en-GB" sz="1200" b="0">
              <a:solidFill>
                <a:schemeClr val="accent6">
                  <a:lumMod val="40000"/>
                  <a:lumOff val="60000"/>
                </a:schemeClr>
              </a:solidFill>
            </a:rPr>
            <a:t>Top-performing students by exam scores are not necessarily the same as the most efficient students as</a:t>
          </a:r>
          <a:r>
            <a:rPr lang="en-GB" sz="1200" b="0" baseline="0">
              <a:solidFill>
                <a:schemeClr val="accent6">
                  <a:lumMod val="40000"/>
                  <a:lumOff val="60000"/>
                </a:schemeClr>
              </a:solidFill>
            </a:rPr>
            <a:t> </a:t>
          </a:r>
          <a:r>
            <a:rPr lang="en-GB" sz="1200" b="0">
              <a:solidFill>
                <a:schemeClr val="accent6">
                  <a:lumMod val="40000"/>
                  <a:lumOff val="60000"/>
                </a:schemeClr>
              </a:solidFill>
            </a:rPr>
            <a:t>exam success depends on multiple factors beyond hours studied.</a:t>
          </a:r>
        </a:p>
        <a:p>
          <a:r>
            <a:rPr lang="en-GB" sz="1200" b="0">
              <a:solidFill>
                <a:schemeClr val="accent6">
                  <a:lumMod val="40000"/>
                  <a:lumOff val="60000"/>
                </a:schemeClr>
              </a:solidFill>
            </a:rPr>
            <a:t>b)</a:t>
          </a:r>
          <a:r>
            <a:rPr lang="en-GB" sz="1200" b="0" baseline="0">
              <a:solidFill>
                <a:schemeClr val="accent6">
                  <a:lumMod val="40000"/>
                  <a:lumOff val="60000"/>
                </a:schemeClr>
              </a:solidFill>
            </a:rPr>
            <a:t> </a:t>
          </a:r>
          <a:r>
            <a:rPr lang="en-GB" sz="1200" b="0">
              <a:solidFill>
                <a:schemeClr val="accent6">
                  <a:lumMod val="40000"/>
                  <a:lumOff val="60000"/>
                </a:schemeClr>
              </a:solidFill>
            </a:rPr>
            <a:t>Strong performers (S087, S084, S061, S121, S072) may combine attendance + consistent sleep + prior knowledge.</a:t>
          </a:r>
        </a:p>
        <a:p>
          <a:endParaRPr lang="en-GB" sz="1200" b="0">
            <a:solidFill>
              <a:schemeClr val="accent6">
                <a:lumMod val="40000"/>
                <a:lumOff val="60000"/>
              </a:schemeClr>
            </a:solidFill>
          </a:endParaRPr>
        </a:p>
        <a:p>
          <a:r>
            <a:rPr lang="en-GB" sz="1200" b="1">
              <a:solidFill>
                <a:schemeClr val="accent6">
                  <a:lumMod val="40000"/>
                  <a:lumOff val="60000"/>
                </a:schemeClr>
              </a:solidFill>
            </a:rPr>
            <a:t>4) Correlations:</a:t>
          </a:r>
        </a:p>
        <a:p>
          <a:r>
            <a:rPr lang="en-GB" sz="1200" b="0">
              <a:solidFill>
                <a:schemeClr val="accent6">
                  <a:lumMod val="40000"/>
                  <a:lumOff val="60000"/>
                </a:schemeClr>
              </a:solidFill>
            </a:rPr>
            <a:t>a) Attendance and Study Efficiency: A positive relationship is visible, but efficiency still varies which</a:t>
          </a:r>
          <a:r>
            <a:rPr lang="en-GB" sz="1200" b="0" baseline="0">
              <a:solidFill>
                <a:schemeClr val="accent6">
                  <a:lumMod val="40000"/>
                  <a:lumOff val="60000"/>
                </a:schemeClr>
              </a:solidFill>
            </a:rPr>
            <a:t> shows that</a:t>
          </a:r>
          <a:r>
            <a:rPr lang="en-GB" sz="1200" b="0">
              <a:solidFill>
                <a:schemeClr val="accent6">
                  <a:lumMod val="40000"/>
                  <a:lumOff val="60000"/>
                </a:schemeClr>
              </a:solidFill>
            </a:rPr>
            <a:t> quality of study time matters more than just attendance.</a:t>
          </a:r>
        </a:p>
        <a:p>
          <a:r>
            <a:rPr lang="en-GB" sz="1200" b="0">
              <a:solidFill>
                <a:schemeClr val="accent6">
                  <a:lumMod val="40000"/>
                  <a:lumOff val="60000"/>
                </a:schemeClr>
              </a:solidFill>
            </a:rPr>
            <a:t>b) Sleep-Study Balance and Efficiency: Students with balanced sleep and study schedules (around 6–8 hrs of each) show higher efficiency.</a:t>
          </a:r>
        </a:p>
        <a:p>
          <a:r>
            <a:rPr lang="en-GB" sz="1200" b="0">
              <a:solidFill>
                <a:schemeClr val="accent6">
                  <a:lumMod val="40000"/>
                  <a:lumOff val="60000"/>
                </a:schemeClr>
              </a:solidFill>
            </a:rPr>
            <a:t>c)</a:t>
          </a:r>
          <a:r>
            <a:rPr lang="en-GB" sz="1200" b="0" baseline="0">
              <a:solidFill>
                <a:schemeClr val="accent6">
                  <a:lumMod val="40000"/>
                  <a:lumOff val="60000"/>
                </a:schemeClr>
              </a:solidFill>
            </a:rPr>
            <a:t> </a:t>
          </a:r>
          <a:r>
            <a:rPr lang="en-GB" sz="1200" b="0">
              <a:solidFill>
                <a:schemeClr val="accent6">
                  <a:lumMod val="40000"/>
                  <a:lumOff val="60000"/>
                </a:schemeClr>
              </a:solidFill>
            </a:rPr>
            <a:t>Exam Scores vs Study Hours/Attendance: Attendance has a stronger effect on exam scores than just study hours.</a:t>
          </a:r>
        </a:p>
        <a:p>
          <a:endParaRPr lang="en-GB" sz="1200" b="0">
            <a:solidFill>
              <a:schemeClr val="accent6">
                <a:lumMod val="40000"/>
                <a:lumOff val="60000"/>
              </a:schemeClr>
            </a:solidFill>
          </a:endParaRPr>
        </a:p>
        <a:p>
          <a:r>
            <a:rPr lang="en-GB" sz="1200" b="1">
              <a:solidFill>
                <a:schemeClr val="accent6">
                  <a:lumMod val="40000"/>
                  <a:lumOff val="60000"/>
                </a:schemeClr>
              </a:solidFill>
            </a:rPr>
            <a:t>5) Weight Distribution:</a:t>
          </a:r>
        </a:p>
        <a:p>
          <a:r>
            <a:rPr lang="en-GB" sz="1200" b="0">
              <a:solidFill>
                <a:schemeClr val="accent6">
                  <a:lumMod val="40000"/>
                  <a:lumOff val="60000"/>
                </a:schemeClr>
              </a:solidFill>
            </a:rPr>
            <a:t>a)</a:t>
          </a:r>
          <a:r>
            <a:rPr lang="en-GB" sz="1200" b="0" baseline="0">
              <a:solidFill>
                <a:schemeClr val="accent6">
                  <a:lumMod val="40000"/>
                  <a:lumOff val="60000"/>
                </a:schemeClr>
              </a:solidFill>
            </a:rPr>
            <a:t> </a:t>
          </a:r>
          <a:r>
            <a:rPr lang="en-GB" sz="1200" b="0">
              <a:solidFill>
                <a:schemeClr val="accent6">
                  <a:lumMod val="40000"/>
                  <a:lumOff val="60000"/>
                </a:schemeClr>
              </a:solidFill>
            </a:rPr>
            <a:t>Efficiency weight distribution shows that most of the "efficiency contribution" is concentrated in a smaller group of students showing that performance is uneven across the class.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171451</xdr:colOff>
      <xdr:row>1</xdr:row>
      <xdr:rowOff>0</xdr:rowOff>
    </xdr:from>
    <xdr:to>
      <xdr:col>14</xdr:col>
      <xdr:colOff>295276</xdr:colOff>
      <xdr:row>25</xdr:row>
      <xdr:rowOff>50427</xdr:rowOff>
    </xdr:to>
    <xdr:sp macro="" textlink="">
      <xdr:nvSpPr>
        <xdr:cNvPr id="2" name="Rectangle: Single Corner Rounded 1">
          <a:extLst>
            <a:ext uri="{FF2B5EF4-FFF2-40B4-BE49-F238E27FC236}">
              <a16:creationId xmlns:a16="http://schemas.microsoft.com/office/drawing/2014/main" id="{4E439BCF-DA6E-46C6-9D4B-130A92C7C038}"/>
            </a:ext>
          </a:extLst>
        </xdr:cNvPr>
        <xdr:cNvSpPr/>
      </xdr:nvSpPr>
      <xdr:spPr>
        <a:xfrm>
          <a:off x="171451" y="184897"/>
          <a:ext cx="9794501" cy="4487956"/>
        </a:xfrm>
        <a:prstGeom prst="round1Rect">
          <a:avLst>
            <a:gd name="adj" fmla="val 5117"/>
          </a:avLst>
        </a:prstGeom>
        <a:solidFill>
          <a:srgbClr val="304A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accent6">
                  <a:lumMod val="40000"/>
                  <a:lumOff val="60000"/>
                </a:schemeClr>
              </a:solidFill>
              <a:latin typeface="Times New Roman" panose="02020603050405020304" pitchFamily="18" charset="0"/>
              <a:cs typeface="Times New Roman" panose="02020603050405020304" pitchFamily="18" charset="0"/>
            </a:rPr>
            <a:t>Post-Analysis Recommendations</a:t>
          </a:r>
        </a:p>
        <a:p>
          <a:pPr algn="ctr"/>
          <a:endParaRPr lang="en-GB" sz="1400" b="1">
            <a:solidFill>
              <a:schemeClr val="accent6">
                <a:lumMod val="40000"/>
                <a:lumOff val="60000"/>
              </a:schemeClr>
            </a:solidFill>
            <a:latin typeface="Times New Roman" panose="02020603050405020304" pitchFamily="18" charset="0"/>
            <a:cs typeface="Times New Roman" panose="02020603050405020304" pitchFamily="18" charset="0"/>
          </a:endParaRPr>
        </a:p>
        <a:p>
          <a:pPr algn="ctr"/>
          <a:endParaRPr lang="en-GB" b="1">
            <a:solidFill>
              <a:schemeClr val="accent6">
                <a:lumMod val="40000"/>
                <a:lumOff val="60000"/>
              </a:schemeClr>
            </a:solidFill>
            <a:latin typeface="Times New Roman" panose="02020603050405020304" pitchFamily="18" charset="0"/>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1)</a:t>
          </a:r>
          <a:r>
            <a:rPr lang="en-GB" sz="1200" b="1" baseline="0">
              <a:solidFill>
                <a:schemeClr val="accent6">
                  <a:lumMod val="40000"/>
                  <a:lumOff val="60000"/>
                </a:schemeClr>
              </a:solidFill>
              <a:effectLst/>
              <a:latin typeface="+mn-lt"/>
              <a:ea typeface="+mn-ea"/>
              <a:cs typeface="Times New Roman" panose="02020603050405020304" pitchFamily="18" charset="0"/>
            </a:rPr>
            <a:t> </a:t>
          </a:r>
          <a:r>
            <a:rPr lang="en-GB" sz="1200" b="1">
              <a:solidFill>
                <a:schemeClr val="accent6">
                  <a:lumMod val="40000"/>
                  <a:lumOff val="60000"/>
                </a:schemeClr>
              </a:solidFill>
              <a:effectLst/>
              <a:latin typeface="+mn-lt"/>
              <a:ea typeface="+mn-ea"/>
              <a:cs typeface="Times New Roman" panose="02020603050405020304" pitchFamily="18" charset="0"/>
            </a:rPr>
            <a:t>Promote Effective Study Strategies:</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Encourage students to adopt quality-focused study methods (active recall, spaced repetition, note summarization) rather than just long hours.</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Also, provide workshops on “how to study smarter, not longer.”</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2) Optimize Sleep Balance:</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Students with 6–8 hrs of sleep show higher efficiency.</a:t>
          </a:r>
          <a:r>
            <a:rPr lang="en-GB" sz="1200" b="0" baseline="0">
              <a:solidFill>
                <a:schemeClr val="accent6">
                  <a:lumMod val="40000"/>
                  <a:lumOff val="60000"/>
                </a:schemeClr>
              </a:solidFill>
              <a:effectLst/>
              <a:latin typeface="+mn-lt"/>
              <a:ea typeface="+mn-ea"/>
              <a:cs typeface="Times New Roman" panose="02020603050405020304" pitchFamily="18" charset="0"/>
            </a:rPr>
            <a:t> Therefore,</a:t>
          </a:r>
          <a:r>
            <a:rPr lang="en-GB" sz="1200" b="0">
              <a:solidFill>
                <a:schemeClr val="accent6">
                  <a:lumMod val="40000"/>
                  <a:lumOff val="60000"/>
                </a:schemeClr>
              </a:solidFill>
              <a:effectLst/>
              <a:latin typeface="+mn-lt"/>
              <a:ea typeface="+mn-ea"/>
              <a:cs typeface="Times New Roman" panose="02020603050405020304" pitchFamily="18" charset="0"/>
            </a:rPr>
            <a:t> the role of rest in memory retention and performance</a:t>
          </a:r>
          <a:r>
            <a:rPr lang="en-GB" sz="1200" b="0" baseline="0">
              <a:solidFill>
                <a:schemeClr val="accent6">
                  <a:lumMod val="40000"/>
                  <a:lumOff val="60000"/>
                </a:schemeClr>
              </a:solidFill>
              <a:effectLst/>
              <a:latin typeface="+mn-lt"/>
              <a:ea typeface="+mn-ea"/>
              <a:cs typeface="Times New Roman" panose="02020603050405020304" pitchFamily="18" charset="0"/>
            </a:rPr>
            <a:t> should be over-emphasized.</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Furthermore,</a:t>
          </a:r>
          <a:r>
            <a:rPr lang="en-GB" sz="1200" b="0" baseline="0">
              <a:solidFill>
                <a:schemeClr val="accent6">
                  <a:lumMod val="40000"/>
                  <a:lumOff val="60000"/>
                </a:schemeClr>
              </a:solidFill>
              <a:effectLst/>
              <a:latin typeface="+mn-lt"/>
              <a:ea typeface="+mn-ea"/>
              <a:cs typeface="Times New Roman" panose="02020603050405020304" pitchFamily="18" charset="0"/>
            </a:rPr>
            <a:t> </a:t>
          </a:r>
          <a:r>
            <a:rPr lang="en-GB" sz="1200" b="0">
              <a:solidFill>
                <a:schemeClr val="accent6">
                  <a:lumMod val="40000"/>
                  <a:lumOff val="60000"/>
                </a:schemeClr>
              </a:solidFill>
              <a:effectLst/>
              <a:latin typeface="+mn-lt"/>
              <a:ea typeface="+mn-ea"/>
              <a:cs typeface="Times New Roman" panose="02020603050405020304" pitchFamily="18" charset="0"/>
            </a:rPr>
            <a:t>sleep-management tips</a:t>
          </a:r>
          <a:r>
            <a:rPr lang="en-GB" sz="1200" b="0" baseline="0">
              <a:solidFill>
                <a:schemeClr val="accent6">
                  <a:lumMod val="40000"/>
                  <a:lumOff val="60000"/>
                </a:schemeClr>
              </a:solidFill>
              <a:effectLst/>
              <a:latin typeface="+mn-lt"/>
              <a:ea typeface="+mn-ea"/>
              <a:cs typeface="Times New Roman" panose="02020603050405020304" pitchFamily="18" charset="0"/>
            </a:rPr>
            <a:t> should be shared</a:t>
          </a:r>
          <a:r>
            <a:rPr lang="en-GB" sz="1200" b="0">
              <a:solidFill>
                <a:schemeClr val="accent6">
                  <a:lumMod val="40000"/>
                  <a:lumOff val="60000"/>
                </a:schemeClr>
              </a:solidFill>
              <a:effectLst/>
              <a:latin typeface="+mn-lt"/>
              <a:ea typeface="+mn-ea"/>
              <a:cs typeface="Times New Roman" panose="02020603050405020304" pitchFamily="18" charset="0"/>
            </a:rPr>
            <a:t> especially during exam season.</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3) Leverage Attendance</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a:t>
          </a:r>
          <a:r>
            <a:rPr lang="en-GB" sz="1200" b="0" baseline="0">
              <a:solidFill>
                <a:schemeClr val="accent6">
                  <a:lumMod val="40000"/>
                  <a:lumOff val="60000"/>
                </a:schemeClr>
              </a:solidFill>
              <a:effectLst/>
              <a:latin typeface="+mn-lt"/>
              <a:ea typeface="+mn-ea"/>
              <a:cs typeface="Times New Roman" panose="02020603050405020304" pitchFamily="18" charset="0"/>
            </a:rPr>
            <a:t> </a:t>
          </a:r>
          <a:r>
            <a:rPr lang="en-GB" sz="1200" b="0">
              <a:solidFill>
                <a:schemeClr val="accent6">
                  <a:lumMod val="40000"/>
                  <a:lumOff val="60000"/>
                </a:schemeClr>
              </a:solidFill>
              <a:effectLst/>
              <a:latin typeface="+mn-lt"/>
              <a:ea typeface="+mn-ea"/>
              <a:cs typeface="Times New Roman" panose="02020603050405020304" pitchFamily="18" charset="0"/>
            </a:rPr>
            <a:t>Attendance strongly correlates with both efficiency and exam scores.</a:t>
          </a:r>
          <a:r>
            <a:rPr lang="en-GB" sz="1200" b="0" baseline="0">
              <a:solidFill>
                <a:schemeClr val="accent6">
                  <a:lumMod val="40000"/>
                  <a:lumOff val="60000"/>
                </a:schemeClr>
              </a:solidFill>
              <a:effectLst/>
              <a:latin typeface="+mn-lt"/>
              <a:ea typeface="+mn-ea"/>
              <a:cs typeface="Times New Roman" panose="02020603050405020304" pitchFamily="18" charset="0"/>
            </a:rPr>
            <a:t> Therefore, </a:t>
          </a:r>
          <a:r>
            <a:rPr lang="en-GB" sz="1200" b="0">
              <a:solidFill>
                <a:schemeClr val="accent6">
                  <a:lumMod val="40000"/>
                  <a:lumOff val="60000"/>
                </a:schemeClr>
              </a:solidFill>
              <a:effectLst/>
              <a:latin typeface="+mn-lt"/>
              <a:ea typeface="+mn-ea"/>
              <a:cs typeface="Times New Roman" panose="02020603050405020304" pitchFamily="18" charset="0"/>
            </a:rPr>
            <a:t>incentives for high attendance (participation marks, recognition)</a:t>
          </a:r>
          <a:r>
            <a:rPr lang="en-GB" sz="1200" b="0" baseline="0">
              <a:solidFill>
                <a:schemeClr val="accent6">
                  <a:lumMod val="40000"/>
                  <a:lumOff val="60000"/>
                </a:schemeClr>
              </a:solidFill>
              <a:effectLst/>
              <a:latin typeface="+mn-lt"/>
              <a:ea typeface="+mn-ea"/>
              <a:cs typeface="Times New Roman" panose="02020603050405020304" pitchFamily="18" charset="0"/>
            </a:rPr>
            <a:t> should be</a:t>
          </a:r>
          <a:r>
            <a:rPr lang="en-GB" sz="1100" b="0" baseline="0">
              <a:solidFill>
                <a:schemeClr val="accent6">
                  <a:lumMod val="40000"/>
                  <a:lumOff val="60000"/>
                </a:schemeClr>
              </a:solidFill>
              <a:effectLst/>
              <a:latin typeface="+mn-lt"/>
              <a:ea typeface="+mn-ea"/>
              <a:cs typeface="+mn-cs"/>
            </a:rPr>
            <a:t> </a:t>
          </a:r>
          <a:r>
            <a:rPr lang="en-GB" sz="1100" b="0">
              <a:solidFill>
                <a:schemeClr val="accent6">
                  <a:lumMod val="40000"/>
                  <a:lumOff val="60000"/>
                </a:schemeClr>
              </a:solidFill>
              <a:effectLst/>
              <a:latin typeface="+mn-lt"/>
              <a:ea typeface="+mn-ea"/>
              <a:cs typeface="+mn-cs"/>
            </a:rPr>
            <a:t>introduce.</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Absentee students should be tracked for targeted support (catch-up sessions, mentorship).</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4) Identify &amp; Support Low-Efficiency Students</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Students with very low efficiency pull down the overall performance.</a:t>
          </a:r>
          <a:r>
            <a:rPr lang="en-GB" sz="1200" b="0" baseline="0">
              <a:solidFill>
                <a:schemeClr val="accent6">
                  <a:lumMod val="40000"/>
                  <a:lumOff val="60000"/>
                </a:schemeClr>
              </a:solidFill>
              <a:effectLst/>
              <a:latin typeface="+mn-lt"/>
              <a:ea typeface="+mn-ea"/>
              <a:cs typeface="Times New Roman" panose="02020603050405020304" pitchFamily="18" charset="0"/>
            </a:rPr>
            <a:t> Therefore, they should be</a:t>
          </a:r>
          <a:r>
            <a:rPr lang="en-GB" sz="1200" b="0">
              <a:solidFill>
                <a:schemeClr val="accent6">
                  <a:lumMod val="40000"/>
                  <a:lumOff val="60000"/>
                </a:schemeClr>
              </a:solidFill>
              <a:effectLst/>
              <a:latin typeface="+mn-lt"/>
              <a:ea typeface="+mn-ea"/>
              <a:cs typeface="Times New Roman" panose="02020603050405020304" pitchFamily="18" charset="0"/>
            </a:rPr>
            <a:t> provided personalized study plans and tutoring.</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Furthermore, high-efficiency students should be paired with low-efficiency peers for peer learning.</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5) Continuous Monitoring</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Create a performance dashboard to continously monitor efficiency, attendance, and sleep balance over time.</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Also by including periodic analysis (monthly/quarterly) early signs of academic decline</a:t>
          </a:r>
          <a:r>
            <a:rPr lang="en-GB" sz="1200" b="0" baseline="0">
              <a:solidFill>
                <a:schemeClr val="accent6">
                  <a:lumMod val="40000"/>
                  <a:lumOff val="60000"/>
                </a:schemeClr>
              </a:solidFill>
              <a:effectLst/>
              <a:latin typeface="+mn-lt"/>
              <a:ea typeface="+mn-ea"/>
              <a:cs typeface="Times New Roman" panose="02020603050405020304" pitchFamily="18" charset="0"/>
            </a:rPr>
            <a:t> can be detected.</a:t>
          </a:r>
          <a:endParaRPr lang="en-NG" sz="1200" b="0">
            <a:solidFill>
              <a:schemeClr val="accent6">
                <a:lumMod val="40000"/>
                <a:lumOff val="60000"/>
              </a:schemeClr>
            </a:solidFill>
            <a:effectLst/>
            <a:latin typeface="+mn-lt"/>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31</xdr:col>
      <xdr:colOff>279400</xdr:colOff>
      <xdr:row>0</xdr:row>
      <xdr:rowOff>101600</xdr:rowOff>
    </xdr:from>
    <xdr:to>
      <xdr:col>37</xdr:col>
      <xdr:colOff>450850</xdr:colOff>
      <xdr:row>29</xdr:row>
      <xdr:rowOff>127000</xdr:rowOff>
    </xdr:to>
    <xdr:sp macro="" textlink="">
      <xdr:nvSpPr>
        <xdr:cNvPr id="3" name="Rectangle: Single Corner Rounded 2">
          <a:extLst>
            <a:ext uri="{FF2B5EF4-FFF2-40B4-BE49-F238E27FC236}">
              <a16:creationId xmlns:a16="http://schemas.microsoft.com/office/drawing/2014/main" id="{8E73AABD-0CDF-51BD-DC8B-C580B13DF293}"/>
            </a:ext>
          </a:extLst>
        </xdr:cNvPr>
        <xdr:cNvSpPr/>
      </xdr:nvSpPr>
      <xdr:spPr>
        <a:xfrm>
          <a:off x="20320000" y="101600"/>
          <a:ext cx="3829050" cy="5365750"/>
        </a:xfrm>
        <a:prstGeom prst="round1Rect">
          <a:avLst>
            <a:gd name="adj" fmla="val 5117"/>
          </a:avLst>
        </a:prstGeom>
        <a:solidFill>
          <a:srgbClr val="1727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400" b="1" i="0" baseline="0">
              <a:solidFill>
                <a:schemeClr val="accent6">
                  <a:lumMod val="20000"/>
                  <a:lumOff val="80000"/>
                </a:schemeClr>
              </a:solidFill>
              <a:effectLst/>
              <a:latin typeface="Times New Roman" panose="02020603050405020304" pitchFamily="18" charset="0"/>
              <a:ea typeface="+mn-ea"/>
              <a:cs typeface="Times New Roman" panose="02020603050405020304" pitchFamily="18" charset="0"/>
            </a:rPr>
            <a:t>Correlation between Exam Score and Study Hours | Sleept Hours | Attendance Rate</a:t>
          </a:r>
          <a:endParaRPr lang="en-NG" sz="1400">
            <a:solidFill>
              <a:schemeClr val="accent6">
                <a:lumMod val="20000"/>
                <a:lumOff val="80000"/>
              </a:schemeClr>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chemeClr val="accent6">
                  <a:lumMod val="20000"/>
                  <a:lumOff val="80000"/>
                </a:schemeClr>
              </a:solidFill>
              <a:latin typeface="+mn-lt"/>
              <a:cs typeface="Times New Roman" panose="02020603050405020304" pitchFamily="18" charset="0"/>
            </a:rPr>
            <a:t>Observations: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60000"/>
                  <a:lumOff val="40000"/>
                </a:schemeClr>
              </a:solidFill>
              <a:latin typeface="+mn-lt"/>
              <a:cs typeface="Times New Roman" panose="02020603050405020304" pitchFamily="18" charset="0"/>
            </a:rPr>
            <a:t>- Study Hours range from 12 to 20.8 hours, with the highest value at 47.9.</a:t>
          </a:r>
        </a:p>
        <a:p>
          <a:r>
            <a:rPr lang="en-GB" sz="1200" b="0">
              <a:solidFill>
                <a:schemeClr val="accent6">
                  <a:lumMod val="60000"/>
                  <a:lumOff val="40000"/>
                </a:schemeClr>
              </a:solidFill>
              <a:latin typeface="+mn-lt"/>
              <a:cs typeface="Times New Roman" panose="02020603050405020304" pitchFamily="18" charset="0"/>
            </a:rPr>
            <a:t>- Sleep Hours vary from 6.7 to 13.8 hours, peaking at 47.9.</a:t>
          </a:r>
        </a:p>
        <a:p>
          <a:r>
            <a:rPr lang="en-GB" sz="1200" b="0">
              <a:solidFill>
                <a:schemeClr val="accent6">
                  <a:lumMod val="60000"/>
                  <a:lumOff val="40000"/>
                </a:schemeClr>
              </a:solidFill>
              <a:latin typeface="+mn-lt"/>
              <a:cs typeface="Times New Roman" panose="02020603050405020304" pitchFamily="18" charset="0"/>
            </a:rPr>
            <a:t>- Attendance Rate fluctuates significantly, with the lowest being 54% at 48.6, and the highest reaching 177% at 47.9.</a:t>
          </a:r>
        </a:p>
        <a:p>
          <a:r>
            <a:rPr lang="en-GB" sz="1200" b="0">
              <a:solidFill>
                <a:schemeClr val="accent6">
                  <a:lumMod val="60000"/>
                  <a:lumOff val="40000"/>
                </a:schemeClr>
              </a:solidFill>
              <a:latin typeface="+mn-lt"/>
              <a:cs typeface="Times New Roman" panose="02020603050405020304" pitchFamily="18" charset="0"/>
            </a:rPr>
            <a:t>- The total for Study Hours is 66.8, Sleep Hours is 42.4, and the </a:t>
          </a:r>
          <a:r>
            <a:rPr lang="en-GB" sz="1200" b="0" baseline="0">
              <a:solidFill>
                <a:schemeClr val="accent6">
                  <a:lumMod val="60000"/>
                  <a:lumOff val="40000"/>
                </a:schemeClr>
              </a:solidFill>
              <a:latin typeface="+mn-lt"/>
              <a:cs typeface="Times New Roman" panose="02020603050405020304" pitchFamily="18" charset="0"/>
            </a:rPr>
            <a:t> </a:t>
          </a:r>
          <a:r>
            <a:rPr lang="en-GB" sz="1200" b="0">
              <a:solidFill>
                <a:schemeClr val="accent6">
                  <a:lumMod val="60000"/>
                  <a:lumOff val="40000"/>
                </a:schemeClr>
              </a:solidFill>
              <a:latin typeface="+mn-lt"/>
              <a:cs typeface="Times New Roman" panose="02020603050405020304" pitchFamily="18" charset="0"/>
            </a:rPr>
            <a:t>Attendance Rate is approximately 4.8%.</a:t>
          </a:r>
        </a:p>
        <a:p>
          <a:endParaRPr lang="en-GB" sz="1200" b="0">
            <a:solidFill>
              <a:schemeClr val="accent6">
                <a:lumMod val="60000"/>
                <a:lumOff val="40000"/>
              </a:schemeClr>
            </a:solidFill>
            <a:latin typeface="+mn-lt"/>
            <a:cs typeface="Times New Roman" panose="02020603050405020304" pitchFamily="18" charset="0"/>
          </a:endParaRPr>
        </a:p>
        <a:p>
          <a:r>
            <a:rPr lang="en-GB" sz="1200" b="1">
              <a:solidFill>
                <a:schemeClr val="accent6">
                  <a:lumMod val="20000"/>
                  <a:lumOff val="80000"/>
                </a:schemeClr>
              </a:solidFill>
              <a:latin typeface="+mn-lt"/>
              <a:cs typeface="Times New Roman" panose="02020603050405020304" pitchFamily="18" charset="0"/>
            </a:rPr>
            <a:t>Pre-insights: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60000"/>
                  <a:lumOff val="40000"/>
                </a:schemeClr>
              </a:solidFill>
              <a:latin typeface="+mn-lt"/>
              <a:cs typeface="Times New Roman" panose="02020603050405020304" pitchFamily="18" charset="0"/>
            </a:rPr>
            <a:t>- The highest attendance rate appears to be associated with 47.9 hours of study and 13.8 hours of sleep, suggesting a strong correlation between more study hours and higher attendance rates in this dataset.</a:t>
          </a:r>
        </a:p>
        <a:p>
          <a:r>
            <a:rPr lang="en-GB" sz="1200" b="0">
              <a:solidFill>
                <a:schemeClr val="accent6">
                  <a:lumMod val="60000"/>
                  <a:lumOff val="40000"/>
                </a:schemeClr>
              </a:solidFill>
              <a:latin typeface="+mn-lt"/>
              <a:cs typeface="Times New Roman" panose="02020603050405020304" pitchFamily="18" charset="0"/>
            </a:rPr>
            <a:t>- There is a noticeable variation in the attendance rates, with the highest 177% possibly indicating outliers or data entry errors, while the more reasonable attendance rates are around 70%–90%.</a:t>
          </a:r>
        </a:p>
        <a:p>
          <a:r>
            <a:rPr lang="en-GB" sz="1200" b="0">
              <a:solidFill>
                <a:schemeClr val="accent6">
                  <a:lumMod val="60000"/>
                  <a:lumOff val="40000"/>
                </a:schemeClr>
              </a:solidFill>
              <a:latin typeface="+mn-lt"/>
              <a:cs typeface="Times New Roman" panose="02020603050405020304" pitchFamily="18" charset="0"/>
            </a:rPr>
            <a:t>- The study and sleep hours are inversely related for some entries, especially at 47.9, where study hours are significantly higher than sleep hours.</a:t>
          </a:r>
        </a:p>
      </xdr:txBody>
    </xdr:sp>
    <xdr:clientData/>
  </xdr:twoCellAnchor>
  <xdr:twoCellAnchor>
    <xdr:from>
      <xdr:col>11</xdr:col>
      <xdr:colOff>474642</xdr:colOff>
      <xdr:row>1</xdr:row>
      <xdr:rowOff>0</xdr:rowOff>
    </xdr:from>
    <xdr:to>
      <xdr:col>16</xdr:col>
      <xdr:colOff>522266</xdr:colOff>
      <xdr:row>28</xdr:row>
      <xdr:rowOff>81435</xdr:rowOff>
    </xdr:to>
    <xdr:sp macro="" textlink="">
      <xdr:nvSpPr>
        <xdr:cNvPr id="4" name="Rectangle: Single Corner Rounded 3">
          <a:extLst>
            <a:ext uri="{FF2B5EF4-FFF2-40B4-BE49-F238E27FC236}">
              <a16:creationId xmlns:a16="http://schemas.microsoft.com/office/drawing/2014/main" id="{24D830EF-23DA-C7CC-4E71-B58E32EECEBD}"/>
            </a:ext>
          </a:extLst>
        </xdr:cNvPr>
        <xdr:cNvSpPr/>
      </xdr:nvSpPr>
      <xdr:spPr>
        <a:xfrm>
          <a:off x="8321497" y="180321"/>
          <a:ext cx="3101441" cy="4950091"/>
        </a:xfrm>
        <a:prstGeom prst="round1Rect">
          <a:avLst>
            <a:gd name="adj" fmla="val 5117"/>
          </a:avLst>
        </a:prstGeom>
        <a:solidFill>
          <a:srgbClr val="3E5F2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eaLnBrk="1" fontAlgn="auto" latinLnBrk="0" hangingPunct="1"/>
          <a:r>
            <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rPr>
            <a:t>Students with the Highest Study Efficiency Rate</a:t>
          </a:r>
          <a:endParaRPr lang="en-NG" sz="1800">
            <a:solidFill>
              <a:schemeClr val="accent6">
                <a:lumMod val="40000"/>
                <a:lumOff val="60000"/>
              </a:schemeClr>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chemeClr val="accent6">
                  <a:lumMod val="40000"/>
                  <a:lumOff val="60000"/>
                </a:schemeClr>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The Max. Study Efficiency for students ranges from 21.2 to 28.55, with S101 having the highest efficiency at 28.55.</a:t>
          </a:r>
        </a:p>
        <a:p>
          <a:r>
            <a:rPr lang="en-GB" sz="1200" b="0">
              <a:solidFill>
                <a:schemeClr val="accent6">
                  <a:lumMod val="20000"/>
                  <a:lumOff val="80000"/>
                </a:schemeClr>
              </a:solidFill>
              <a:latin typeface="+mn-lt"/>
              <a:cs typeface="Times New Roman" panose="02020603050405020304" pitchFamily="18" charset="0"/>
            </a:rPr>
            <a:t>- S125 has the lowest efficiency on the top 5 table</a:t>
          </a:r>
          <a:r>
            <a:rPr lang="en-GB" sz="1200" b="0" baseline="0">
              <a:solidFill>
                <a:schemeClr val="accent6">
                  <a:lumMod val="20000"/>
                  <a:lumOff val="80000"/>
                </a:schemeClr>
              </a:solidFill>
              <a:latin typeface="+mn-lt"/>
              <a:cs typeface="Times New Roman" panose="02020603050405020304" pitchFamily="18" charset="0"/>
            </a:rPr>
            <a:t> </a:t>
          </a:r>
          <a:r>
            <a:rPr lang="en-GB" sz="1200" b="0">
              <a:solidFill>
                <a:schemeClr val="accent6">
                  <a:lumMod val="20000"/>
                  <a:lumOff val="80000"/>
                </a:schemeClr>
              </a:solidFill>
              <a:latin typeface="+mn-lt"/>
              <a:cs typeface="Times New Roman" panose="02020603050405020304" pitchFamily="18" charset="0"/>
            </a:rPr>
            <a:t>at 21.2, and there is a gradual increase in efficiency as we move from S125 to S101.</a:t>
          </a:r>
        </a:p>
        <a:p>
          <a:endParaRPr lang="en-GB" sz="1200">
            <a:solidFill>
              <a:schemeClr val="accent6">
                <a:lumMod val="60000"/>
                <a:lumOff val="40000"/>
              </a:schemeClr>
            </a:solidFill>
            <a:latin typeface="+mn-lt"/>
            <a:cs typeface="Times New Roman" panose="02020603050405020304" pitchFamily="18" charset="0"/>
          </a:endParaRPr>
        </a:p>
        <a:p>
          <a:r>
            <a:rPr lang="en-GB" sz="1200" b="1">
              <a:solidFill>
                <a:schemeClr val="accent6">
                  <a:lumMod val="40000"/>
                  <a:lumOff val="60000"/>
                </a:schemeClr>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S101 shows the highest study efficiency, which might suggest a highly effective study approach or consistent study habits.</a:t>
          </a:r>
        </a:p>
        <a:p>
          <a:r>
            <a:rPr lang="en-GB" sz="1200" b="0">
              <a:solidFill>
                <a:schemeClr val="accent6">
                  <a:lumMod val="20000"/>
                  <a:lumOff val="80000"/>
                </a:schemeClr>
              </a:solidFill>
              <a:latin typeface="+mn-lt"/>
              <a:cs typeface="Times New Roman" panose="02020603050405020304" pitchFamily="18" charset="0"/>
            </a:rPr>
            <a:t>- S125 has the lowest efficiency, which could indicate potential challenges in study practices, workload management, or other external factors affecting study outcomes.</a:t>
          </a:r>
        </a:p>
        <a:p>
          <a:r>
            <a:rPr lang="en-GB" sz="1200" b="0">
              <a:solidFill>
                <a:schemeClr val="accent6">
                  <a:lumMod val="20000"/>
                  <a:lumOff val="80000"/>
                </a:schemeClr>
              </a:solidFill>
              <a:latin typeface="+mn-lt"/>
              <a:cs typeface="Times New Roman" panose="02020603050405020304" pitchFamily="18" charset="0"/>
            </a:rPr>
            <a:t>- The data indicates that a range of students have varying efficiencies, but those near the higher end may have developed better techniques or habits.</a:t>
          </a:r>
        </a:p>
        <a:p>
          <a:endParaRPr lang="en-GB" b="0">
            <a:solidFill>
              <a:schemeClr val="accent6">
                <a:lumMod val="60000"/>
                <a:lumOff val="40000"/>
              </a:schemeClr>
            </a:solidFill>
          </a:endParaRPr>
        </a:p>
      </xdr:txBody>
    </xdr:sp>
    <xdr:clientData/>
  </xdr:twoCellAnchor>
  <xdr:twoCellAnchor>
    <xdr:from>
      <xdr:col>5</xdr:col>
      <xdr:colOff>179594</xdr:colOff>
      <xdr:row>1</xdr:row>
      <xdr:rowOff>9525</xdr:rowOff>
    </xdr:from>
    <xdr:to>
      <xdr:col>11</xdr:col>
      <xdr:colOff>343192</xdr:colOff>
      <xdr:row>28</xdr:row>
      <xdr:rowOff>81435</xdr:rowOff>
    </xdr:to>
    <xdr:sp macro="" textlink="">
      <xdr:nvSpPr>
        <xdr:cNvPr id="5" name="Rectangle: Single Corner Rounded 4">
          <a:extLst>
            <a:ext uri="{FF2B5EF4-FFF2-40B4-BE49-F238E27FC236}">
              <a16:creationId xmlns:a16="http://schemas.microsoft.com/office/drawing/2014/main" id="{11FB059B-FA20-18BE-1A45-D1BE85AFDBE0}"/>
            </a:ext>
          </a:extLst>
        </xdr:cNvPr>
        <xdr:cNvSpPr/>
      </xdr:nvSpPr>
      <xdr:spPr>
        <a:xfrm>
          <a:off x="4361869" y="189846"/>
          <a:ext cx="3828178" cy="4940566"/>
        </a:xfrm>
        <a:prstGeom prst="round1Rect">
          <a:avLst>
            <a:gd name="adj" fmla="val 5117"/>
          </a:avLst>
        </a:prstGeom>
        <a:solidFill>
          <a:srgbClr val="A9D08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Correlation between Attendance and Study Efficiency</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Attendance Rates vary from 81.1% to 82.6%, with 81.1% associated with the highest study efficiency of 28.55.</a:t>
          </a:r>
        </a:p>
        <a:p>
          <a:r>
            <a:rPr lang="en-GB" sz="1200" b="0">
              <a:solidFill>
                <a:srgbClr val="090E06"/>
              </a:solidFill>
              <a:latin typeface="+mn-lt"/>
              <a:cs typeface="Times New Roman" panose="02020603050405020304" pitchFamily="18" charset="0"/>
            </a:rPr>
            <a:t>- As attendance increases slightly, the study efficiency decreases gradually (e.g., S101 with 28.55 has 81.1% attendance).</a:t>
          </a:r>
        </a:p>
        <a:p>
          <a:r>
            <a:rPr lang="en-GB" sz="1200" b="0">
              <a:solidFill>
                <a:srgbClr val="090E06"/>
              </a:solidFill>
              <a:latin typeface="+mn-lt"/>
              <a:cs typeface="Times New Roman" panose="02020603050405020304" pitchFamily="18" charset="0"/>
            </a:rPr>
            <a:t>- S125 has the lowest study efficiency (21.2) with an attendance rate of 82.6%.</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The data suggests a weak to moderate inverse correlation between attendance and study efficiency. Higher attendance does not necessarily equate to higher study efficiency, indicating that other factors like study techniques</a:t>
          </a:r>
          <a:r>
            <a:rPr lang="en-GB" sz="1200" b="0" baseline="0">
              <a:solidFill>
                <a:srgbClr val="090E06"/>
              </a:solidFill>
              <a:latin typeface="+mn-lt"/>
              <a:cs typeface="Times New Roman" panose="02020603050405020304" pitchFamily="18" charset="0"/>
            </a:rPr>
            <a:t> and </a:t>
          </a:r>
          <a:r>
            <a:rPr lang="en-GB" sz="1200" b="0">
              <a:solidFill>
                <a:srgbClr val="090E06"/>
              </a:solidFill>
              <a:latin typeface="+mn-lt"/>
              <a:cs typeface="Times New Roman" panose="02020603050405020304" pitchFamily="18" charset="0"/>
            </a:rPr>
            <a:t>time management could play a significant role in efficiency.</a:t>
          </a:r>
        </a:p>
        <a:p>
          <a:r>
            <a:rPr lang="en-GB" sz="1200" b="0">
              <a:solidFill>
                <a:srgbClr val="090E06"/>
              </a:solidFill>
              <a:latin typeface="+mn-lt"/>
              <a:cs typeface="Times New Roman" panose="02020603050405020304" pitchFamily="18" charset="0"/>
            </a:rPr>
            <a:t>- A closer look might reveal whether students with lower attendance but higher study efficiency have different study habits or external factors that support their learning success.</a:t>
          </a:r>
        </a:p>
        <a:p>
          <a:endParaRPr lang="en-GB" b="0">
            <a:solidFill>
              <a:schemeClr val="accent6">
                <a:lumMod val="60000"/>
                <a:lumOff val="40000"/>
              </a:schemeClr>
            </a:solidFill>
          </a:endParaRPr>
        </a:p>
      </xdr:txBody>
    </xdr:sp>
    <xdr:clientData/>
  </xdr:twoCellAnchor>
  <xdr:twoCellAnchor>
    <xdr:from>
      <xdr:col>0</xdr:col>
      <xdr:colOff>209551</xdr:colOff>
      <xdr:row>1</xdr:row>
      <xdr:rowOff>19050</xdr:rowOff>
    </xdr:from>
    <xdr:to>
      <xdr:col>5</xdr:col>
      <xdr:colOff>40717</xdr:colOff>
      <xdr:row>28</xdr:row>
      <xdr:rowOff>81435</xdr:rowOff>
    </xdr:to>
    <xdr:sp macro="" textlink="">
      <xdr:nvSpPr>
        <xdr:cNvPr id="6" name="Rectangle: Single Corner Rounded 5">
          <a:extLst>
            <a:ext uri="{FF2B5EF4-FFF2-40B4-BE49-F238E27FC236}">
              <a16:creationId xmlns:a16="http://schemas.microsoft.com/office/drawing/2014/main" id="{E9CCEAC1-1FCB-A539-03AE-DB83FFF1A078}"/>
            </a:ext>
          </a:extLst>
        </xdr:cNvPr>
        <xdr:cNvSpPr/>
      </xdr:nvSpPr>
      <xdr:spPr>
        <a:xfrm>
          <a:off x="209551" y="199371"/>
          <a:ext cx="4013441" cy="4931041"/>
        </a:xfrm>
        <a:prstGeom prst="round1Rect">
          <a:avLst>
            <a:gd name="adj" fmla="val 5117"/>
          </a:avLst>
        </a:prstGeom>
        <a:solidFill>
          <a:srgbClr val="C6E0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Top 5 Performing Students by Exam Scores</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a:t>
          </a:r>
          <a:r>
            <a:rPr lang="en-GB" sz="1200" b="0">
              <a:solidFill>
                <a:srgbClr val="090E06"/>
              </a:solidFill>
            </a:rPr>
            <a:t>The highest exam score is 51.3 (S087), followed by S084 (48.9), S061 (48.6), S121 (47.9), and S072 (47.9).</a:t>
          </a:r>
        </a:p>
        <a:p>
          <a:r>
            <a:rPr lang="en-GB" sz="1200" b="0">
              <a:solidFill>
                <a:srgbClr val="090E06"/>
              </a:solidFill>
            </a:rPr>
            <a:t>- The score difference between 2nd and 5th place is small (about 1 point), suggesting performance among the top students is very close.</a:t>
          </a:r>
        </a:p>
        <a:p>
          <a:r>
            <a:rPr lang="en-GB" sz="1200" b="0">
              <a:solidFill>
                <a:srgbClr val="090E06"/>
              </a:solidFill>
            </a:rPr>
            <a:t>- The gap between the top scorer (S087: 51.3) and others (~48–47.9) indicates that S087 slightly outperformed others.</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90E06"/>
              </a:solidFill>
            </a:rPr>
            <a:t>- The consistency in top scores (~48–51) may indicate that certain study behaviors (balanced study hours, good attendance, effective sleep patterns, or high prior scores) contribute to strong exam performance.</a:t>
          </a:r>
        </a:p>
        <a:p>
          <a:r>
            <a:rPr lang="en-GB" sz="1200" b="0">
              <a:solidFill>
                <a:srgbClr val="090E06"/>
              </a:solidFill>
            </a:rPr>
            <a:t>- The fact that multiple students are clustered at the top suggests success is replicable if those positive habits are identified and shared.</a:t>
          </a:r>
        </a:p>
        <a:p>
          <a:r>
            <a:rPr lang="en-GB" sz="1200" b="0">
              <a:solidFill>
                <a:srgbClr val="090E06"/>
              </a:solidFill>
            </a:rPr>
            <a:t>- Further analysis is needed to check whether these top students also rank high in study efficiency, attendance, and sleep balance</a:t>
          </a:r>
          <a:r>
            <a:rPr lang="en-GB" sz="1200" b="0" baseline="0">
              <a:solidFill>
                <a:srgbClr val="090E06"/>
              </a:solidFill>
            </a:rPr>
            <a:t> as</a:t>
          </a:r>
          <a:r>
            <a:rPr lang="en-GB" sz="1200" b="0">
              <a:solidFill>
                <a:srgbClr val="090E06"/>
              </a:solidFill>
            </a:rPr>
            <a:t> this could help create a model for academic success.</a:t>
          </a:r>
        </a:p>
        <a:p>
          <a:endParaRPr lang="en-GB" b="0">
            <a:solidFill>
              <a:schemeClr val="accent6">
                <a:lumMod val="60000"/>
                <a:lumOff val="40000"/>
              </a:schemeClr>
            </a:solidFill>
          </a:endParaRPr>
        </a:p>
      </xdr:txBody>
    </xdr:sp>
    <xdr:clientData/>
  </xdr:twoCellAnchor>
  <xdr:twoCellAnchor>
    <xdr:from>
      <xdr:col>17</xdr:col>
      <xdr:colOff>59479</xdr:colOff>
      <xdr:row>0</xdr:row>
      <xdr:rowOff>82550</xdr:rowOff>
    </xdr:from>
    <xdr:to>
      <xdr:col>24</xdr:col>
      <xdr:colOff>317500</xdr:colOff>
      <xdr:row>29</xdr:row>
      <xdr:rowOff>127000</xdr:rowOff>
    </xdr:to>
    <xdr:sp macro="" textlink="">
      <xdr:nvSpPr>
        <xdr:cNvPr id="7" name="Rectangle: Single Corner Rounded 6">
          <a:extLst>
            <a:ext uri="{FF2B5EF4-FFF2-40B4-BE49-F238E27FC236}">
              <a16:creationId xmlns:a16="http://schemas.microsoft.com/office/drawing/2014/main" id="{AD1DF05E-2643-6C00-067D-569848EC0D87}"/>
            </a:ext>
          </a:extLst>
        </xdr:cNvPr>
        <xdr:cNvSpPr/>
      </xdr:nvSpPr>
      <xdr:spPr>
        <a:xfrm>
          <a:off x="11565679" y="82550"/>
          <a:ext cx="4525221" cy="5384800"/>
        </a:xfrm>
        <a:prstGeom prst="round1Rect">
          <a:avLst>
            <a:gd name="adj" fmla="val 5117"/>
          </a:avLst>
        </a:prstGeom>
        <a:solidFill>
          <a:srgbClr val="75B54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Correlation between Sleep-Study Balance and Study Efficiency</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B1307"/>
              </a:solidFill>
              <a:latin typeface="+mn-lt"/>
              <a:cs typeface="Times New Roman" panose="02020603050405020304" pitchFamily="18" charset="0"/>
            </a:rPr>
            <a:t>- </a:t>
          </a:r>
          <a:r>
            <a:rPr lang="en-GB" sz="1200" b="0">
              <a:solidFill>
                <a:srgbClr val="0B1307"/>
              </a:solidFill>
            </a:rPr>
            <a:t>The highest study efficiency (28.55) is linked with a sleep–study balance of 7.73, showing that maintaining a fairly balanced routine supports peak efficiency.</a:t>
          </a:r>
        </a:p>
        <a:p>
          <a:r>
            <a:rPr lang="en-GB" sz="1200" b="0">
              <a:solidFill>
                <a:srgbClr val="0B1307"/>
              </a:solidFill>
            </a:rPr>
            <a:t>- Other high efficiency scores (24, 23, 22.33, 21.2) are associated with balances of 4.85, 6.36, 4.75, and 4.1 which</a:t>
          </a:r>
          <a:r>
            <a:rPr lang="en-GB" sz="1200" b="0" baseline="0">
              <a:solidFill>
                <a:srgbClr val="0B1307"/>
              </a:solidFill>
            </a:rPr>
            <a:t> are</a:t>
          </a:r>
          <a:r>
            <a:rPr lang="en-GB" sz="1200" b="0">
              <a:solidFill>
                <a:srgbClr val="0B1307"/>
              </a:solidFill>
            </a:rPr>
            <a:t> all within a moderate balance range.</a:t>
          </a:r>
        </a:p>
        <a:p>
          <a:r>
            <a:rPr lang="en-GB" sz="1200" b="0">
              <a:solidFill>
                <a:srgbClr val="0B1307"/>
              </a:solidFill>
            </a:rPr>
            <a:t>balance values (e.g., &lt;3 or &gt;10).</a:t>
          </a:r>
        </a:p>
        <a:p>
          <a:r>
            <a:rPr lang="en-GB" sz="1200" b="0">
              <a:solidFill>
                <a:srgbClr val="0B1307"/>
              </a:solidFill>
            </a:rPr>
            <a:t>- The efficiency values cluster around 21–24 for students with balances between 4–6, indicating that a moderate balance consistently yields good efficiency.</a:t>
          </a:r>
        </a:p>
        <a:p>
          <a:r>
            <a:rPr lang="en-GB" sz="1200" b="0">
              <a:solidFill>
                <a:srgbClr val="0B1307"/>
              </a:solidFill>
            </a:rPr>
            <a:t>- The standout case (7.73 - 28.55) suggests that some students can extract exceptionally high output when their balance is optimized.</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B1307"/>
              </a:solidFill>
            </a:rPr>
            <a:t>- A moderate sleep–study balance (4–7) is positively associated with higher study efficiency, suggesting that students who neither over-study nor over-sleep perform better.</a:t>
          </a:r>
        </a:p>
        <a:p>
          <a:r>
            <a:rPr lang="en-GB" sz="1200" b="0">
              <a:solidFill>
                <a:srgbClr val="0B1307"/>
              </a:solidFill>
            </a:rPr>
            <a:t>- Very high efficiency is possible when balance is closer to optimal (7–8), reinforcing the importance of proper time allocation.</a:t>
          </a:r>
        </a:p>
        <a:p>
          <a:r>
            <a:rPr lang="en-GB" sz="1200" b="0">
              <a:solidFill>
                <a:srgbClr val="0B1307"/>
              </a:solidFill>
            </a:rPr>
            <a:t>- Extreme imbalance (too little sleep or excessive study hours) likely reduces efficiency, since no top scorers are found in those ranges.</a:t>
          </a:r>
        </a:p>
        <a:p>
          <a:r>
            <a:rPr lang="en-GB" sz="1200" b="0">
              <a:solidFill>
                <a:srgbClr val="0B1307"/>
              </a:solidFill>
            </a:rPr>
            <a:t>- Students should be guided toward balanced routines, as sleep and study complement each other in maximizing productivity.</a:t>
          </a:r>
        </a:p>
        <a:p>
          <a:endParaRPr lang="en-GB" b="0">
            <a:solidFill>
              <a:schemeClr val="accent6">
                <a:lumMod val="60000"/>
                <a:lumOff val="40000"/>
              </a:schemeClr>
            </a:solidFill>
          </a:endParaRPr>
        </a:p>
      </xdr:txBody>
    </xdr:sp>
    <xdr:clientData/>
  </xdr:twoCellAnchor>
  <xdr:twoCellAnchor>
    <xdr:from>
      <xdr:col>24</xdr:col>
      <xdr:colOff>432076</xdr:colOff>
      <xdr:row>0</xdr:row>
      <xdr:rowOff>101600</xdr:rowOff>
    </xdr:from>
    <xdr:to>
      <xdr:col>31</xdr:col>
      <xdr:colOff>178076</xdr:colOff>
      <xdr:row>29</xdr:row>
      <xdr:rowOff>127000</xdr:rowOff>
    </xdr:to>
    <xdr:sp macro="" textlink="">
      <xdr:nvSpPr>
        <xdr:cNvPr id="8" name="Rectangle: Single Corner Rounded 7">
          <a:extLst>
            <a:ext uri="{FF2B5EF4-FFF2-40B4-BE49-F238E27FC236}">
              <a16:creationId xmlns:a16="http://schemas.microsoft.com/office/drawing/2014/main" id="{DDA8E0E3-FF03-BEF8-C5D2-5272E0B65283}"/>
            </a:ext>
          </a:extLst>
        </xdr:cNvPr>
        <xdr:cNvSpPr/>
      </xdr:nvSpPr>
      <xdr:spPr>
        <a:xfrm>
          <a:off x="16202163" y="101600"/>
          <a:ext cx="4013200" cy="5405783"/>
        </a:xfrm>
        <a:prstGeom prst="round1Rect">
          <a:avLst>
            <a:gd name="adj" fmla="val 5117"/>
          </a:avLst>
        </a:prstGeom>
        <a:solidFill>
          <a:srgbClr val="2A41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eaLnBrk="1" fontAlgn="auto" latinLnBrk="0" hangingPunct="1"/>
          <a:r>
            <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rPr>
            <a:t>Efficiency Weight Distribution</a:t>
          </a:r>
        </a:p>
        <a:p>
          <a:pPr algn="ctr" rtl="0" eaLnBrk="1" fontAlgn="auto" latinLnBrk="0" hangingPunct="1"/>
          <a:endPar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endParaRPr>
        </a:p>
        <a:p>
          <a:pPr algn="ctr" rtl="0" eaLnBrk="1" fontAlgn="auto" latinLnBrk="0" hangingPunct="1"/>
          <a:endParaRPr lang="en-GB" b="1"/>
        </a:p>
        <a:p>
          <a:r>
            <a:rPr lang="en-GB" sz="1200" b="1">
              <a:solidFill>
                <a:schemeClr val="accent6">
                  <a:lumMod val="40000"/>
                  <a:lumOff val="60000"/>
                </a:schemeClr>
              </a:solidFill>
              <a:latin typeface="+mn-lt"/>
              <a:cs typeface="Times New Roman" panose="02020603050405020304" pitchFamily="18" charset="0"/>
            </a:rPr>
            <a:t>Observations:</a:t>
          </a:r>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a:t>
          </a:r>
          <a:r>
            <a:rPr lang="en-GB" sz="1200" b="0">
              <a:solidFill>
                <a:schemeClr val="accent6">
                  <a:lumMod val="40000"/>
                  <a:lumOff val="60000"/>
                </a:schemeClr>
              </a:solidFill>
              <a:latin typeface="+mn-lt"/>
              <a:cs typeface="Times New Roman" panose="02020603050405020304" pitchFamily="18" charset="0"/>
            </a:rPr>
            <a:t> </a:t>
          </a:r>
          <a:r>
            <a:rPr lang="en-GB" sz="1200" b="0">
              <a:solidFill>
                <a:schemeClr val="accent6">
                  <a:lumMod val="40000"/>
                  <a:lumOff val="60000"/>
                </a:schemeClr>
              </a:solidFill>
            </a:rPr>
            <a:t>The distribution of efficiency weight is almost even between categories: Low (62), Average (69), and High (69).</a:t>
          </a:r>
        </a:p>
        <a:p>
          <a:r>
            <a:rPr lang="en-GB" sz="1200" b="0">
              <a:solidFill>
                <a:schemeClr val="accent6">
                  <a:lumMod val="40000"/>
                  <a:lumOff val="60000"/>
                </a:schemeClr>
              </a:solidFill>
            </a:rPr>
            <a:t>- Average and High categories have equal weights (69 each), slightly higher than the Low category (62).</a:t>
          </a:r>
          <a:r>
            <a:rPr lang="en-GB" sz="1200" b="0" baseline="0">
              <a:solidFill>
                <a:schemeClr val="accent6">
                  <a:lumMod val="40000"/>
                  <a:lumOff val="60000"/>
                </a:schemeClr>
              </a:solidFill>
            </a:rPr>
            <a:t> </a:t>
          </a:r>
          <a:r>
            <a:rPr lang="en-GB" sz="1200" b="0">
              <a:solidFill>
                <a:schemeClr val="accent6">
                  <a:lumMod val="40000"/>
                  <a:lumOff val="60000"/>
                </a:schemeClr>
              </a:solidFill>
            </a:rPr>
            <a:t>This indicates that a significant portion of efficiency is shared by students in both the “Average” and “High” categories, while “Low” contributes less but still meaningfully.</a:t>
          </a:r>
        </a:p>
        <a:p>
          <a:r>
            <a:rPr lang="en-GB" sz="1200" b="0">
              <a:solidFill>
                <a:schemeClr val="accent6">
                  <a:lumMod val="40000"/>
                  <a:lumOff val="60000"/>
                </a:schemeClr>
              </a:solidFill>
            </a:rPr>
            <a:t>- The gap between Low and the other categories (7 points) suggests that inefficiency is less common but still present.</a:t>
          </a:r>
        </a:p>
        <a:p>
          <a:endParaRPr lang="en-GB" sz="1200">
            <a:solidFill>
              <a:schemeClr val="accent6">
                <a:lumMod val="60000"/>
                <a:lumOff val="40000"/>
              </a:schemeClr>
            </a:solidFill>
            <a:latin typeface="+mn-lt"/>
            <a:cs typeface="Times New Roman" panose="02020603050405020304" pitchFamily="18" charset="0"/>
          </a:endParaRPr>
        </a:p>
        <a:p>
          <a:r>
            <a:rPr lang="en-GB" sz="1200" b="1">
              <a:solidFill>
                <a:schemeClr val="accent6">
                  <a:lumMod val="40000"/>
                  <a:lumOff val="60000"/>
                </a:schemeClr>
              </a:solidFill>
              <a:latin typeface="+mn-lt"/>
              <a:cs typeface="Times New Roman" panose="02020603050405020304" pitchFamily="18" charset="0"/>
            </a:rPr>
            <a:t>Pre-insights:</a:t>
          </a:r>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a:t>
          </a:r>
          <a:r>
            <a:rPr lang="en-GB" sz="1200" b="0">
              <a:solidFill>
                <a:schemeClr val="accent6">
                  <a:lumMod val="40000"/>
                  <a:lumOff val="60000"/>
                </a:schemeClr>
              </a:solidFill>
            </a:rPr>
            <a:t>Since Average and High performers contribute more to total efficiency, most students are at least moderately efficient — showing potential for overall class improvement.</a:t>
          </a:r>
        </a:p>
        <a:p>
          <a:r>
            <a:rPr lang="en-GB" sz="1200" b="0">
              <a:solidFill>
                <a:schemeClr val="accent6">
                  <a:lumMod val="40000"/>
                  <a:lumOff val="60000"/>
                </a:schemeClr>
              </a:solidFill>
            </a:rPr>
            <a:t>- The relatively smaller Low contribution suggests that underperforming students are fewer, but they may need targeted support to catch up.</a:t>
          </a:r>
        </a:p>
        <a:p>
          <a:r>
            <a:rPr lang="en-GB" sz="1200" b="0">
              <a:solidFill>
                <a:schemeClr val="accent6">
                  <a:lumMod val="40000"/>
                  <a:lumOff val="60000"/>
                </a:schemeClr>
              </a:solidFill>
            </a:rPr>
            <a:t>- The balance between High and Average indicates that with proper interventions (study techniques, attendance improvement, better sleep-study balance), many “Average” students could be lifted into the “High” category.</a:t>
          </a:r>
        </a:p>
        <a:p>
          <a:r>
            <a:rPr lang="en-GB" sz="1200" b="0">
              <a:solidFill>
                <a:schemeClr val="accent6">
                  <a:lumMod val="40000"/>
                  <a:lumOff val="60000"/>
                </a:schemeClr>
              </a:solidFill>
            </a:rPr>
            <a:t>- Focused interventions on the Low efficiency group could significantly raise the overall performance, as the bulk of efficiency is already concentrated in Average/High groups.</a:t>
          </a:r>
        </a:p>
        <a:p>
          <a:endParaRPr lang="en-GB" b="0">
            <a:solidFill>
              <a:schemeClr val="accent6">
                <a:lumMod val="60000"/>
                <a:lumOff val="4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3</xdr:row>
      <xdr:rowOff>114300</xdr:rowOff>
    </xdr:from>
    <xdr:to>
      <xdr:col>30</xdr:col>
      <xdr:colOff>15623</xdr:colOff>
      <xdr:row>14</xdr:row>
      <xdr:rowOff>52656</xdr:rowOff>
    </xdr:to>
    <xdr:graphicFrame macro="">
      <xdr:nvGraphicFramePr>
        <xdr:cNvPr id="3" name="Chart 2">
          <a:extLst>
            <a:ext uri="{FF2B5EF4-FFF2-40B4-BE49-F238E27FC236}">
              <a16:creationId xmlns:a16="http://schemas.microsoft.com/office/drawing/2014/main" id="{0948AF5C-ABA7-49C1-98BF-B1F2BB3C9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304800</xdr:colOff>
      <xdr:row>1</xdr:row>
      <xdr:rowOff>85725</xdr:rowOff>
    </xdr:from>
    <xdr:to>
      <xdr:col>21</xdr:col>
      <xdr:colOff>233663</xdr:colOff>
      <xdr:row>16</xdr:row>
      <xdr:rowOff>9692</xdr:rowOff>
    </xdr:to>
    <xdr:graphicFrame macro="">
      <xdr:nvGraphicFramePr>
        <xdr:cNvPr id="5" name="Chart 4">
          <a:extLst>
            <a:ext uri="{FF2B5EF4-FFF2-40B4-BE49-F238E27FC236}">
              <a16:creationId xmlns:a16="http://schemas.microsoft.com/office/drawing/2014/main" id="{FBD21AC1-2152-4F6A-880C-3E29A16A1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190500</xdr:colOff>
      <xdr:row>2</xdr:row>
      <xdr:rowOff>66675</xdr:rowOff>
    </xdr:from>
    <xdr:to>
      <xdr:col>22</xdr:col>
      <xdr:colOff>211890</xdr:colOff>
      <xdr:row>16</xdr:row>
      <xdr:rowOff>144379</xdr:rowOff>
    </xdr:to>
    <xdr:graphicFrame macro="">
      <xdr:nvGraphicFramePr>
        <xdr:cNvPr id="4" name="Chart 3">
          <a:extLst>
            <a:ext uri="{FF2B5EF4-FFF2-40B4-BE49-F238E27FC236}">
              <a16:creationId xmlns:a16="http://schemas.microsoft.com/office/drawing/2014/main" id="{14B504D5-6BF6-42C9-A951-C6301B447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295275</xdr:colOff>
      <xdr:row>2</xdr:row>
      <xdr:rowOff>95250</xdr:rowOff>
    </xdr:from>
    <xdr:to>
      <xdr:col>17</xdr:col>
      <xdr:colOff>31792</xdr:colOff>
      <xdr:row>17</xdr:row>
      <xdr:rowOff>19217</xdr:rowOff>
    </xdr:to>
    <xdr:graphicFrame macro="">
      <xdr:nvGraphicFramePr>
        <xdr:cNvPr id="3" name="Chart 2">
          <a:extLst>
            <a:ext uri="{FF2B5EF4-FFF2-40B4-BE49-F238E27FC236}">
              <a16:creationId xmlns:a16="http://schemas.microsoft.com/office/drawing/2014/main" id="{8CD244DF-F8A1-4701-8D95-B8230AF1F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285750</xdr:colOff>
      <xdr:row>1</xdr:row>
      <xdr:rowOff>171450</xdr:rowOff>
    </xdr:from>
    <xdr:to>
      <xdr:col>14</xdr:col>
      <xdr:colOff>42074</xdr:colOff>
      <xdr:row>17</xdr:row>
      <xdr:rowOff>83306</xdr:rowOff>
    </xdr:to>
    <xdr:graphicFrame macro="">
      <xdr:nvGraphicFramePr>
        <xdr:cNvPr id="3" name="Chart 2">
          <a:extLst>
            <a:ext uri="{FF2B5EF4-FFF2-40B4-BE49-F238E27FC236}">
              <a16:creationId xmlns:a16="http://schemas.microsoft.com/office/drawing/2014/main" id="{56425651-89EA-4B2C-97E3-78496C0F9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200025</xdr:colOff>
      <xdr:row>3</xdr:row>
      <xdr:rowOff>90487</xdr:rowOff>
    </xdr:from>
    <xdr:to>
      <xdr:col>13</xdr:col>
      <xdr:colOff>123825</xdr:colOff>
      <xdr:row>17</xdr:row>
      <xdr:rowOff>166687</xdr:rowOff>
    </xdr:to>
    <xdr:graphicFrame macro="">
      <xdr:nvGraphicFramePr>
        <xdr:cNvPr id="2" name="Chart 1">
          <a:extLst>
            <a:ext uri="{FF2B5EF4-FFF2-40B4-BE49-F238E27FC236}">
              <a16:creationId xmlns:a16="http://schemas.microsoft.com/office/drawing/2014/main" id="{A09FA4D8-FFCA-D53A-7CA7-F592589D6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200025</xdr:colOff>
      <xdr:row>3</xdr:row>
      <xdr:rowOff>90487</xdr:rowOff>
    </xdr:from>
    <xdr:to>
      <xdr:col>13</xdr:col>
      <xdr:colOff>123825</xdr:colOff>
      <xdr:row>17</xdr:row>
      <xdr:rowOff>166687</xdr:rowOff>
    </xdr:to>
    <xdr:graphicFrame macro="">
      <xdr:nvGraphicFramePr>
        <xdr:cNvPr id="2" name="Chart 1">
          <a:extLst>
            <a:ext uri="{FF2B5EF4-FFF2-40B4-BE49-F238E27FC236}">
              <a16:creationId xmlns:a16="http://schemas.microsoft.com/office/drawing/2014/main" id="{6D332F37-BA2A-4FE2-AA59-CF3371F4C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182091</xdr:colOff>
      <xdr:row>0</xdr:row>
      <xdr:rowOff>180109</xdr:rowOff>
    </xdr:from>
    <xdr:to>
      <xdr:col>7</xdr:col>
      <xdr:colOff>247402</xdr:colOff>
      <xdr:row>31</xdr:row>
      <xdr:rowOff>123702</xdr:rowOff>
    </xdr:to>
    <xdr:sp macro="" textlink="">
      <xdr:nvSpPr>
        <xdr:cNvPr id="5" name="Rectangle: Single Corner Rounded 4">
          <a:extLst>
            <a:ext uri="{FF2B5EF4-FFF2-40B4-BE49-F238E27FC236}">
              <a16:creationId xmlns:a16="http://schemas.microsoft.com/office/drawing/2014/main" id="{CC3F2FBC-60B9-4DFE-FEE0-A099096E2A4A}"/>
            </a:ext>
          </a:extLst>
        </xdr:cNvPr>
        <xdr:cNvSpPr/>
      </xdr:nvSpPr>
      <xdr:spPr>
        <a:xfrm>
          <a:off x="182091" y="180109"/>
          <a:ext cx="4308266" cy="5695703"/>
        </a:xfrm>
        <a:prstGeom prst="round1Rect">
          <a:avLst>
            <a:gd name="adj" fmla="val 7766"/>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B1307"/>
              </a:solidFill>
              <a:latin typeface="+mn-lt"/>
            </a:rPr>
            <a:t>ABOUT DATA</a:t>
          </a:r>
        </a:p>
        <a:p>
          <a:pPr algn="ctr"/>
          <a:endParaRPr lang="en-GB" sz="1400" b="1">
            <a:solidFill>
              <a:srgbClr val="0B1307"/>
            </a:solidFill>
            <a:latin typeface="+mn-lt"/>
          </a:endParaRPr>
        </a:p>
        <a:p>
          <a:pPr algn="l"/>
          <a:r>
            <a:rPr lang="en-GB" sz="1400" b="1">
              <a:solidFill>
                <a:srgbClr val="0B1307"/>
              </a:solidFill>
              <a:latin typeface="+mn-lt"/>
            </a:rPr>
            <a:t>Industry</a:t>
          </a:r>
          <a:r>
            <a:rPr lang="en-GB" sz="1400" b="1" baseline="0">
              <a:solidFill>
                <a:srgbClr val="0B1307"/>
              </a:solidFill>
              <a:latin typeface="+mn-lt"/>
            </a:rPr>
            <a:t> Type:</a:t>
          </a:r>
        </a:p>
        <a:p>
          <a:pPr algn="l"/>
          <a:r>
            <a:rPr lang="en-GB" sz="1400" b="0" baseline="0">
              <a:solidFill>
                <a:srgbClr val="0B1307"/>
              </a:solidFill>
              <a:latin typeface="+mn-lt"/>
            </a:rPr>
            <a:t>An academic body and it's student's scores</a:t>
          </a:r>
          <a:r>
            <a:rPr lang="en-GB" sz="1200" b="1" baseline="0">
              <a:solidFill>
                <a:srgbClr val="0B1307"/>
              </a:solidFill>
              <a:latin typeface="+mn-lt"/>
            </a:rPr>
            <a:t>.</a:t>
          </a:r>
        </a:p>
        <a:p>
          <a:pPr algn="l"/>
          <a:endParaRPr lang="en-GB" sz="1200" b="1" baseline="0">
            <a:solidFill>
              <a:srgbClr val="0B1307"/>
            </a:solidFill>
            <a:latin typeface="+mn-lt"/>
          </a:endParaRPr>
        </a:p>
        <a:p>
          <a:pPr algn="l"/>
          <a:r>
            <a:rPr lang="en-GB" sz="1400" b="1" baseline="0">
              <a:solidFill>
                <a:srgbClr val="0B1307"/>
              </a:solidFill>
              <a:latin typeface="+mn-lt"/>
            </a:rPr>
            <a:t>Data Story:</a:t>
          </a:r>
        </a:p>
        <a:p>
          <a:pPr algn="l"/>
          <a:r>
            <a:rPr lang="en-GB" sz="1400">
              <a:solidFill>
                <a:srgbClr val="0B1307"/>
              </a:solidFill>
            </a:rPr>
            <a:t>This dataset provides a window into how various student behaviors and historical factors contribute to overall performance. </a:t>
          </a:r>
        </a:p>
        <a:p>
          <a:pPr algn="l"/>
          <a:endParaRPr lang="en-GB" sz="1400" b="0">
            <a:solidFill>
              <a:srgbClr val="0B1307"/>
            </a:solidFill>
            <a:latin typeface="+mn-lt"/>
          </a:endParaRPr>
        </a:p>
        <a:p>
          <a:pPr algn="l"/>
          <a:r>
            <a:rPr lang="en-GB" sz="1400" b="1">
              <a:solidFill>
                <a:srgbClr val="0B1307"/>
              </a:solidFill>
              <a:latin typeface="+mn-lt"/>
            </a:rPr>
            <a:t>Stakeholders:</a:t>
          </a:r>
        </a:p>
        <a:p>
          <a:pPr algn="l"/>
          <a:r>
            <a:rPr lang="en-GB" sz="1400" b="0">
              <a:solidFill>
                <a:srgbClr val="0B1307"/>
              </a:solidFill>
              <a:latin typeface="+mn-lt"/>
            </a:rPr>
            <a:t>- Parents</a:t>
          </a:r>
        </a:p>
        <a:p>
          <a:pPr algn="l"/>
          <a:r>
            <a:rPr lang="en-GB" sz="1400" b="0">
              <a:solidFill>
                <a:srgbClr val="0B1307"/>
              </a:solidFill>
              <a:latin typeface="+mn-lt"/>
            </a:rPr>
            <a:t>- Educators (Teachers and Professors)</a:t>
          </a:r>
        </a:p>
        <a:p>
          <a:pPr algn="l"/>
          <a:r>
            <a:rPr lang="en-GB" sz="1400" b="0">
              <a:solidFill>
                <a:srgbClr val="0B1307"/>
              </a:solidFill>
              <a:latin typeface="+mn-lt"/>
            </a:rPr>
            <a:t>- School</a:t>
          </a:r>
          <a:r>
            <a:rPr lang="en-GB" sz="1400" b="0" baseline="0">
              <a:solidFill>
                <a:srgbClr val="0B1307"/>
              </a:solidFill>
              <a:latin typeface="+mn-lt"/>
            </a:rPr>
            <a:t> Administrators</a:t>
          </a:r>
        </a:p>
        <a:p>
          <a:pPr algn="l"/>
          <a:r>
            <a:rPr lang="en-GB" sz="1400" b="0" baseline="0">
              <a:solidFill>
                <a:srgbClr val="0B1307"/>
              </a:solidFill>
              <a:latin typeface="+mn-lt"/>
            </a:rPr>
            <a:t>- EdTech Companies</a:t>
          </a:r>
        </a:p>
        <a:p>
          <a:pPr algn="l"/>
          <a:r>
            <a:rPr lang="en-GB" sz="1400" b="0" baseline="0">
              <a:solidFill>
                <a:srgbClr val="0B1307"/>
              </a:solidFill>
              <a:latin typeface="+mn-lt"/>
            </a:rPr>
            <a:t>- Educational Researchers</a:t>
          </a:r>
        </a:p>
        <a:p>
          <a:pPr algn="l"/>
          <a:r>
            <a:rPr lang="en-GB" sz="1400" b="0" baseline="0">
              <a:solidFill>
                <a:srgbClr val="0B1307"/>
              </a:solidFill>
              <a:latin typeface="+mn-lt"/>
            </a:rPr>
            <a:t>- Educational Policy Makers</a:t>
          </a:r>
        </a:p>
        <a:p>
          <a:pPr algn="l"/>
          <a:endParaRPr lang="en-GB" sz="1400" b="1" baseline="0">
            <a:solidFill>
              <a:srgbClr val="0B1307"/>
            </a:solidFill>
            <a:latin typeface="+mn-lt"/>
          </a:endParaRPr>
        </a:p>
        <a:p>
          <a:pPr algn="l"/>
          <a:r>
            <a:rPr lang="en-GB" sz="1400" b="1">
              <a:solidFill>
                <a:srgbClr val="0B1307"/>
              </a:solidFill>
              <a:latin typeface="+mn-lt"/>
            </a:rPr>
            <a:t>What Success Means to the industry</a:t>
          </a:r>
        </a:p>
        <a:p>
          <a:pPr algn="l"/>
          <a:r>
            <a:rPr lang="en-GB" sz="1400" b="0">
              <a:solidFill>
                <a:srgbClr val="0B1307"/>
              </a:solidFill>
              <a:latin typeface="+mn-lt"/>
            </a:rPr>
            <a:t>In</a:t>
          </a:r>
          <a:r>
            <a:rPr lang="en-GB" sz="1400" b="0" baseline="0">
              <a:solidFill>
                <a:srgbClr val="0B1307"/>
              </a:solidFill>
              <a:latin typeface="+mn-lt"/>
            </a:rPr>
            <a:t> the educational industry, success means high graduation, strong ranking, student growth. All of these tell a story of students environmental factors, teaching capacity and the retention rate of students. </a:t>
          </a:r>
          <a:endParaRPr lang="en-GB" sz="1400" b="0">
            <a:solidFill>
              <a:srgbClr val="0B1307"/>
            </a:solidFill>
            <a:latin typeface="+mn-lt"/>
          </a:endParaRPr>
        </a:p>
      </xdr:txBody>
    </xdr:sp>
    <xdr:clientData/>
  </xdr:twoCellAnchor>
  <xdr:twoCellAnchor>
    <xdr:from>
      <xdr:col>7</xdr:col>
      <xdr:colOff>445822</xdr:colOff>
      <xdr:row>0</xdr:row>
      <xdr:rowOff>184064</xdr:rowOff>
    </xdr:from>
    <xdr:to>
      <xdr:col>12</xdr:col>
      <xdr:colOff>173182</xdr:colOff>
      <xdr:row>31</xdr:row>
      <xdr:rowOff>127657</xdr:rowOff>
    </xdr:to>
    <xdr:sp macro="" textlink="">
      <xdr:nvSpPr>
        <xdr:cNvPr id="6" name="Rectangle: Single Corner Rounded 5">
          <a:extLst>
            <a:ext uri="{FF2B5EF4-FFF2-40B4-BE49-F238E27FC236}">
              <a16:creationId xmlns:a16="http://schemas.microsoft.com/office/drawing/2014/main" id="{6E0DCA77-C484-DE6C-7AE9-78134C810DF4}"/>
            </a:ext>
          </a:extLst>
        </xdr:cNvPr>
        <xdr:cNvSpPr/>
      </xdr:nvSpPr>
      <xdr:spPr>
        <a:xfrm>
          <a:off x="4688777" y="184064"/>
          <a:ext cx="2758041" cy="5695703"/>
        </a:xfrm>
        <a:prstGeom prst="round1Rect">
          <a:avLst>
            <a:gd name="adj" fmla="val 10836"/>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6">
                  <a:lumMod val="40000"/>
                  <a:lumOff val="60000"/>
                </a:schemeClr>
              </a:solidFill>
              <a:latin typeface="+mn-lt"/>
            </a:rPr>
            <a:t>PROJECT</a:t>
          </a:r>
          <a:r>
            <a:rPr lang="en-GB" sz="1600" b="1" baseline="0">
              <a:solidFill>
                <a:schemeClr val="accent6">
                  <a:lumMod val="40000"/>
                  <a:lumOff val="60000"/>
                </a:schemeClr>
              </a:solidFill>
              <a:latin typeface="+mn-lt"/>
            </a:rPr>
            <a:t> SPLIT</a:t>
          </a:r>
          <a:endParaRPr lang="en-GB" sz="1600" b="1">
            <a:solidFill>
              <a:schemeClr val="accent6">
                <a:lumMod val="40000"/>
                <a:lumOff val="60000"/>
              </a:schemeClr>
            </a:solidFill>
            <a:latin typeface="+mn-lt"/>
          </a:endParaRPr>
        </a:p>
        <a:p>
          <a:pPr algn="ctr"/>
          <a:endParaRPr lang="en-GB" sz="1400" b="1">
            <a:solidFill>
              <a:schemeClr val="accent6">
                <a:lumMod val="40000"/>
                <a:lumOff val="60000"/>
              </a:schemeClr>
            </a:solidFill>
            <a:latin typeface="+mn-lt"/>
          </a:endParaRPr>
        </a:p>
        <a:p>
          <a:pPr algn="l"/>
          <a:r>
            <a:rPr lang="en-GB" sz="1400" b="1">
              <a:solidFill>
                <a:schemeClr val="accent6">
                  <a:lumMod val="40000"/>
                  <a:lumOff val="60000"/>
                </a:schemeClr>
              </a:solidFill>
              <a:latin typeface="+mn-lt"/>
            </a:rPr>
            <a:t>Independent Variables:</a:t>
          </a:r>
        </a:p>
        <a:p>
          <a:pPr algn="l"/>
          <a:endParaRPr lang="en-GB" sz="1400" b="1" baseline="0">
            <a:solidFill>
              <a:schemeClr val="accent6">
                <a:lumMod val="40000"/>
                <a:lumOff val="60000"/>
              </a:schemeClr>
            </a:solidFill>
            <a:latin typeface="+mn-lt"/>
          </a:endParaRPr>
        </a:p>
        <a:p>
          <a:r>
            <a:rPr lang="en-GB" sz="1400">
              <a:solidFill>
                <a:schemeClr val="accent6">
                  <a:lumMod val="40000"/>
                  <a:lumOff val="60000"/>
                </a:schemeClr>
              </a:solidFill>
            </a:rPr>
            <a:t>- Hours studied</a:t>
          </a:r>
        </a:p>
        <a:p>
          <a:r>
            <a:rPr lang="en-GB" sz="1400">
              <a:solidFill>
                <a:schemeClr val="accent6">
                  <a:lumMod val="40000"/>
                  <a:lumOff val="60000"/>
                </a:schemeClr>
              </a:solidFill>
            </a:rPr>
            <a:t>- Sleep hours</a:t>
          </a:r>
        </a:p>
        <a:p>
          <a:r>
            <a:rPr lang="en-GB" sz="1400">
              <a:solidFill>
                <a:schemeClr val="accent6">
                  <a:lumMod val="40000"/>
                  <a:lumOff val="60000"/>
                </a:schemeClr>
              </a:solidFill>
            </a:rPr>
            <a:t>- Attendance percent</a:t>
          </a:r>
        </a:p>
        <a:p>
          <a:r>
            <a:rPr lang="en-GB" sz="1400">
              <a:solidFill>
                <a:schemeClr val="accent6">
                  <a:lumMod val="40000"/>
                  <a:lumOff val="60000"/>
                </a:schemeClr>
              </a:solidFill>
            </a:rPr>
            <a:t>- Previous scores</a:t>
          </a:r>
        </a:p>
        <a:p>
          <a:r>
            <a:rPr lang="en-GB" sz="1400">
              <a:solidFill>
                <a:schemeClr val="accent6">
                  <a:lumMod val="40000"/>
                  <a:lumOff val="60000"/>
                </a:schemeClr>
              </a:solidFill>
            </a:rPr>
            <a:t>- Weight of Previous</a:t>
          </a:r>
        </a:p>
        <a:p>
          <a:r>
            <a:rPr lang="en-GB" sz="1400">
              <a:solidFill>
                <a:schemeClr val="accent6">
                  <a:lumMod val="40000"/>
                  <a:lumOff val="60000"/>
                </a:schemeClr>
              </a:solidFill>
            </a:rPr>
            <a:t>-</a:t>
          </a:r>
          <a:r>
            <a:rPr lang="en-GB" sz="1400" baseline="0">
              <a:solidFill>
                <a:schemeClr val="accent6">
                  <a:lumMod val="40000"/>
                  <a:lumOff val="60000"/>
                </a:schemeClr>
              </a:solidFill>
            </a:rPr>
            <a:t> </a:t>
          </a:r>
          <a:r>
            <a:rPr lang="en-GB" sz="1400">
              <a:solidFill>
                <a:schemeClr val="accent6">
                  <a:lumMod val="40000"/>
                  <a:lumOff val="60000"/>
                </a:schemeClr>
              </a:solidFill>
            </a:rPr>
            <a:t>Weight of Exam</a:t>
          </a:r>
        </a:p>
        <a:p>
          <a:endParaRPr lang="en-GB" sz="1400">
            <a:solidFill>
              <a:schemeClr val="accent6">
                <a:lumMod val="40000"/>
                <a:lumOff val="60000"/>
              </a:schemeClr>
            </a:solidFill>
          </a:endParaRPr>
        </a:p>
        <a:p>
          <a:pPr algn="l"/>
          <a:endParaRPr lang="en-GB" sz="1200" b="1" baseline="0">
            <a:solidFill>
              <a:schemeClr val="accent6">
                <a:lumMod val="40000"/>
                <a:lumOff val="60000"/>
              </a:schemeClr>
            </a:solidFill>
            <a:latin typeface="+mn-lt"/>
          </a:endParaRPr>
        </a:p>
        <a:p>
          <a:pPr algn="l"/>
          <a:r>
            <a:rPr lang="en-GB" sz="1400" b="1" baseline="0">
              <a:solidFill>
                <a:schemeClr val="accent6">
                  <a:lumMod val="40000"/>
                  <a:lumOff val="60000"/>
                </a:schemeClr>
              </a:solidFill>
              <a:latin typeface="+mn-lt"/>
            </a:rPr>
            <a:t>Dependent Variables:</a:t>
          </a:r>
        </a:p>
        <a:p>
          <a:pPr algn="l"/>
          <a:endParaRPr lang="en-GB" sz="1400" b="1" baseline="0">
            <a:solidFill>
              <a:schemeClr val="accent6">
                <a:lumMod val="40000"/>
                <a:lumOff val="60000"/>
              </a:schemeClr>
            </a:solidFill>
            <a:latin typeface="+mn-lt"/>
          </a:endParaRPr>
        </a:p>
        <a:p>
          <a:r>
            <a:rPr lang="en-GB" sz="1400">
              <a:solidFill>
                <a:schemeClr val="accent6">
                  <a:lumMod val="40000"/>
                  <a:lumOff val="60000"/>
                </a:schemeClr>
              </a:solidFill>
            </a:rPr>
            <a:t>- Exam score</a:t>
          </a:r>
        </a:p>
        <a:p>
          <a:r>
            <a:rPr lang="en-GB" sz="1400">
              <a:solidFill>
                <a:schemeClr val="accent6">
                  <a:lumMod val="40000"/>
                  <a:lumOff val="60000"/>
                </a:schemeClr>
              </a:solidFill>
            </a:rPr>
            <a:t>- Study efficiency</a:t>
          </a:r>
        </a:p>
        <a:p>
          <a:r>
            <a:rPr lang="en-GB" sz="1400">
              <a:solidFill>
                <a:schemeClr val="accent6">
                  <a:lumMod val="40000"/>
                  <a:lumOff val="60000"/>
                </a:schemeClr>
              </a:solidFill>
            </a:rPr>
            <a:t>- Sleep-study balance</a:t>
          </a:r>
        </a:p>
        <a:p>
          <a:r>
            <a:rPr lang="en-GB" sz="1400">
              <a:solidFill>
                <a:schemeClr val="accent6">
                  <a:lumMod val="40000"/>
                  <a:lumOff val="60000"/>
                </a:schemeClr>
              </a:solidFill>
            </a:rPr>
            <a:t>- Total Scores</a:t>
          </a:r>
        </a:p>
        <a:p>
          <a:r>
            <a:rPr lang="en-GB" sz="1400">
              <a:solidFill>
                <a:schemeClr val="accent6">
                  <a:lumMod val="40000"/>
                  <a:lumOff val="60000"/>
                </a:schemeClr>
              </a:solidFill>
            </a:rPr>
            <a:t>- Improvement Rate</a:t>
          </a:r>
        </a:p>
        <a:p>
          <a:r>
            <a:rPr lang="en-GB" sz="1400">
              <a:solidFill>
                <a:schemeClr val="accent6">
                  <a:lumMod val="40000"/>
                  <a:lumOff val="60000"/>
                </a:schemeClr>
              </a:solidFill>
            </a:rPr>
            <a:t>- Weighted Average</a:t>
          </a:r>
        </a:p>
        <a:p>
          <a:r>
            <a:rPr lang="en-GB" sz="1400">
              <a:solidFill>
                <a:schemeClr val="accent6">
                  <a:lumMod val="40000"/>
                  <a:lumOff val="60000"/>
                </a:schemeClr>
              </a:solidFill>
            </a:rPr>
            <a:t>- Weighted Average Distribution</a:t>
          </a:r>
        </a:p>
        <a:p>
          <a:pPr algn="l"/>
          <a:endParaRPr lang="en-GB" sz="1400" b="1" baseline="0">
            <a:latin typeface="+mn-lt"/>
          </a:endParaRPr>
        </a:p>
      </xdr:txBody>
    </xdr:sp>
    <xdr:clientData/>
  </xdr:twoCellAnchor>
  <xdr:twoCellAnchor>
    <xdr:from>
      <xdr:col>12</xdr:col>
      <xdr:colOff>387933</xdr:colOff>
      <xdr:row>1</xdr:row>
      <xdr:rowOff>14842</xdr:rowOff>
    </xdr:from>
    <xdr:to>
      <xdr:col>17</xdr:col>
      <xdr:colOff>104273</xdr:colOff>
      <xdr:row>31</xdr:row>
      <xdr:rowOff>143987</xdr:rowOff>
    </xdr:to>
    <xdr:sp macro="" textlink="">
      <xdr:nvSpPr>
        <xdr:cNvPr id="7" name="Rectangle: Single Corner Rounded 6">
          <a:extLst>
            <a:ext uri="{FF2B5EF4-FFF2-40B4-BE49-F238E27FC236}">
              <a16:creationId xmlns:a16="http://schemas.microsoft.com/office/drawing/2014/main" id="{C41B7C90-30BF-8EAF-17F9-2891FC9BD1F0}"/>
            </a:ext>
          </a:extLst>
        </xdr:cNvPr>
        <xdr:cNvSpPr/>
      </xdr:nvSpPr>
      <xdr:spPr>
        <a:xfrm>
          <a:off x="7895638" y="199326"/>
          <a:ext cx="2844551" cy="5663672"/>
        </a:xfrm>
        <a:prstGeom prst="round1Rect">
          <a:avLst>
            <a:gd name="adj" fmla="val 9962"/>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B1307"/>
              </a:solidFill>
              <a:latin typeface="+mn-lt"/>
            </a:rPr>
            <a:t>POTENTIAL ANALYSIS</a:t>
          </a:r>
        </a:p>
        <a:p>
          <a:pPr algn="ctr"/>
          <a:endParaRPr lang="en-GB" sz="1400" b="1">
            <a:solidFill>
              <a:srgbClr val="0B1307"/>
            </a:solidFill>
            <a:latin typeface="+mn-lt"/>
          </a:endParaRPr>
        </a:p>
        <a:p>
          <a:r>
            <a:rPr lang="en-GB" sz="1400">
              <a:solidFill>
                <a:srgbClr val="0B1307"/>
              </a:solidFill>
            </a:rPr>
            <a:t>-</a:t>
          </a:r>
          <a:r>
            <a:rPr lang="en-GB" sz="1400" baseline="0">
              <a:solidFill>
                <a:srgbClr val="0B1307"/>
              </a:solidFill>
            </a:rPr>
            <a:t> </a:t>
          </a:r>
          <a:r>
            <a:rPr lang="en-GB" sz="1400">
              <a:solidFill>
                <a:srgbClr val="0B1307"/>
              </a:solidFill>
            </a:rPr>
            <a:t>Correlation analysis between study hours, sleep hours, attendance, previous scores, and exam scores.</a:t>
          </a:r>
          <a:r>
            <a:rPr lang="en-GB" sz="1400" baseline="0">
              <a:solidFill>
                <a:srgbClr val="0B1307"/>
              </a:solidFill>
            </a:rPr>
            <a:t> </a:t>
          </a:r>
        </a:p>
        <a:p>
          <a:r>
            <a:rPr lang="en-GB" sz="1400" b="1" baseline="0">
              <a:solidFill>
                <a:srgbClr val="0B1307"/>
              </a:solidFill>
              <a:latin typeface="+mn-lt"/>
            </a:rPr>
            <a:t>- </a:t>
          </a:r>
          <a:r>
            <a:rPr lang="en-GB" sz="1400">
              <a:solidFill>
                <a:srgbClr val="0B1307"/>
              </a:solidFill>
            </a:rPr>
            <a:t>Regression analysis to predict exam scores and weighted averages from independent variables.</a:t>
          </a:r>
        </a:p>
        <a:p>
          <a:r>
            <a:rPr lang="en-GB" sz="1400" b="1" baseline="0">
              <a:solidFill>
                <a:srgbClr val="0B1307"/>
              </a:solidFill>
              <a:latin typeface="+mn-lt"/>
            </a:rPr>
            <a:t>- </a:t>
          </a:r>
          <a:r>
            <a:rPr lang="en-GB" sz="1400">
              <a:solidFill>
                <a:srgbClr val="0B1307"/>
              </a:solidFill>
            </a:rPr>
            <a:t>Analysis of study efficiency across different students.</a:t>
          </a:r>
        </a:p>
        <a:p>
          <a:r>
            <a:rPr lang="en-GB" sz="1400" b="1" baseline="0">
              <a:solidFill>
                <a:srgbClr val="0B1307"/>
              </a:solidFill>
              <a:latin typeface="+mn-lt"/>
            </a:rPr>
            <a:t>- </a:t>
          </a:r>
          <a:r>
            <a:rPr lang="en-GB" sz="1400">
              <a:solidFill>
                <a:srgbClr val="0B1307"/>
              </a:solidFill>
            </a:rPr>
            <a:t>Sleep-study balance analysis across performance categories. </a:t>
          </a:r>
        </a:p>
        <a:p>
          <a:r>
            <a:rPr lang="en-GB" sz="1400" b="1" baseline="0">
              <a:solidFill>
                <a:srgbClr val="0B1307"/>
              </a:solidFill>
              <a:latin typeface="+mn-lt"/>
            </a:rPr>
            <a:t>- </a:t>
          </a:r>
          <a:r>
            <a:rPr lang="en-GB" sz="1400">
              <a:solidFill>
                <a:srgbClr val="0B1307"/>
              </a:solidFill>
            </a:rPr>
            <a:t>Attendance vs. exam outcomes analysis.</a:t>
          </a:r>
        </a:p>
        <a:p>
          <a:r>
            <a:rPr lang="en-GB" sz="1400" b="1" baseline="0">
              <a:solidFill>
                <a:srgbClr val="0B1307"/>
              </a:solidFill>
              <a:latin typeface="+mn-lt"/>
            </a:rPr>
            <a:t>- </a:t>
          </a:r>
          <a:r>
            <a:rPr lang="en-GB" sz="1400">
              <a:solidFill>
                <a:srgbClr val="0B1307"/>
              </a:solidFill>
            </a:rPr>
            <a:t>Multi-factor analysis of study hours, sleep, and attendance combined.</a:t>
          </a:r>
        </a:p>
        <a:p>
          <a:r>
            <a:rPr lang="en-GB" sz="1400" b="1" baseline="0">
              <a:solidFill>
                <a:srgbClr val="0B1307"/>
              </a:solidFill>
              <a:latin typeface="+mn-lt"/>
            </a:rPr>
            <a:t>- </a:t>
          </a:r>
          <a:r>
            <a:rPr lang="en-GB" sz="1400">
              <a:solidFill>
                <a:srgbClr val="0B1307"/>
              </a:solidFill>
            </a:rPr>
            <a:t>Risk analysis of students with low attendance, negative improvement, and weak efficiency.</a:t>
          </a:r>
          <a:endParaRPr lang="en-GB" sz="1400" b="1" baseline="0">
            <a:solidFill>
              <a:srgbClr val="0B1307"/>
            </a:solidFill>
            <a:latin typeface="+mn-lt"/>
          </a:endParaRPr>
        </a:p>
      </xdr:txBody>
    </xdr:sp>
    <xdr:clientData/>
  </xdr:twoCellAnchor>
  <xdr:twoCellAnchor>
    <xdr:from>
      <xdr:col>17</xdr:col>
      <xdr:colOff>307043</xdr:colOff>
      <xdr:row>1</xdr:row>
      <xdr:rowOff>18801</xdr:rowOff>
    </xdr:from>
    <xdr:to>
      <xdr:col>23</xdr:col>
      <xdr:colOff>304801</xdr:colOff>
      <xdr:row>31</xdr:row>
      <xdr:rowOff>147946</xdr:rowOff>
    </xdr:to>
    <xdr:sp macro="" textlink="">
      <xdr:nvSpPr>
        <xdr:cNvPr id="8" name="Rectangle: Single Corner Rounded 7">
          <a:extLst>
            <a:ext uri="{FF2B5EF4-FFF2-40B4-BE49-F238E27FC236}">
              <a16:creationId xmlns:a16="http://schemas.microsoft.com/office/drawing/2014/main" id="{FDF6617B-66A5-0A14-DA5E-2DEE6875BC20}"/>
            </a:ext>
          </a:extLst>
        </xdr:cNvPr>
        <xdr:cNvSpPr/>
      </xdr:nvSpPr>
      <xdr:spPr>
        <a:xfrm>
          <a:off x="10942959" y="203285"/>
          <a:ext cx="3751610" cy="5663672"/>
        </a:xfrm>
        <a:prstGeom prst="round1Rect">
          <a:avLst>
            <a:gd name="adj" fmla="val 6878"/>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6">
                  <a:lumMod val="40000"/>
                  <a:lumOff val="60000"/>
                </a:schemeClr>
              </a:solidFill>
              <a:latin typeface="+mn-lt"/>
            </a:rPr>
            <a:t>POTENTIAL INSIGHTS</a:t>
          </a:r>
        </a:p>
        <a:p>
          <a:pPr algn="ctr"/>
          <a:endParaRPr lang="en-GB" sz="1400" b="1">
            <a:solidFill>
              <a:schemeClr val="accent6">
                <a:lumMod val="40000"/>
                <a:lumOff val="60000"/>
              </a:schemeClr>
            </a:solidFill>
            <a:latin typeface="+mn-lt"/>
          </a:endParaRPr>
        </a:p>
        <a:p>
          <a:r>
            <a:rPr lang="en-GB" sz="1400">
              <a:solidFill>
                <a:schemeClr val="accent6">
                  <a:lumMod val="40000"/>
                  <a:lumOff val="60000"/>
                </a:schemeClr>
              </a:solidFill>
            </a:rPr>
            <a:t>-</a:t>
          </a:r>
          <a:r>
            <a:rPr lang="en-GB" sz="1400" baseline="0">
              <a:solidFill>
                <a:schemeClr val="accent6">
                  <a:lumMod val="40000"/>
                  <a:lumOff val="60000"/>
                </a:schemeClr>
              </a:solidFill>
            </a:rPr>
            <a:t> </a:t>
          </a:r>
          <a:r>
            <a:rPr lang="en-GB" sz="1400">
              <a:solidFill>
                <a:schemeClr val="accent6">
                  <a:lumMod val="40000"/>
                  <a:lumOff val="60000"/>
                </a:schemeClr>
              </a:solidFill>
            </a:rPr>
            <a:t>Identify which factors (study hours, sleep, attendance, past scores) most strongly influence exam performance.</a:t>
          </a:r>
        </a:p>
        <a:p>
          <a:pPr algn="l"/>
          <a:r>
            <a:rPr lang="en-GB" sz="1600" b="0" baseline="0">
              <a:solidFill>
                <a:schemeClr val="accent6">
                  <a:lumMod val="40000"/>
                  <a:lumOff val="60000"/>
                </a:schemeClr>
              </a:solidFill>
              <a:latin typeface="+mn-lt"/>
            </a:rPr>
            <a:t>- </a:t>
          </a:r>
          <a:r>
            <a:rPr lang="en-GB" sz="1400" b="0">
              <a:solidFill>
                <a:schemeClr val="accent6">
                  <a:lumMod val="40000"/>
                  <a:lumOff val="60000"/>
                </a:schemeClr>
              </a:solidFill>
            </a:rPr>
            <a:t>Determine the strongest predictors of performance (e.g., attendance and previous scores may outweigh sleep or raw study hours).</a:t>
          </a:r>
        </a:p>
        <a:p>
          <a:pPr algn="l"/>
          <a:r>
            <a:rPr lang="en-GB" sz="1400" b="0" baseline="0">
              <a:solidFill>
                <a:schemeClr val="accent6">
                  <a:lumMod val="40000"/>
                  <a:lumOff val="60000"/>
                </a:schemeClr>
              </a:solidFill>
              <a:latin typeface="+mn-lt"/>
            </a:rPr>
            <a:t>- </a:t>
          </a:r>
          <a:r>
            <a:rPr lang="en-GB" sz="1400" b="0">
              <a:solidFill>
                <a:schemeClr val="accent6">
                  <a:lumMod val="40000"/>
                  <a:lumOff val="60000"/>
                </a:schemeClr>
              </a:solidFill>
              <a:effectLst/>
              <a:latin typeface="+mn-lt"/>
              <a:ea typeface="+mn-ea"/>
              <a:cs typeface="+mn-cs"/>
            </a:rPr>
            <a:t>Discover whether students who study fewer hours but more efficiently achieve higher exam scores.</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Identify if balanced sleep and study patterns lead to higher weighted averages compared to extreme study or sleep habits.</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Confirm whether consistent attendance has a stronger impact on outcomes than extra study hours alone.</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Detect the “optimal zone” of study and sleep that maximizes performance without fatigue.</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Flag at-risk students early so interventions (tutoring, mentoring, wellness support) can be applied.</a:t>
          </a:r>
          <a:endParaRPr lang="en-GB" sz="1400" b="0" baseline="0">
            <a:solidFill>
              <a:schemeClr val="accent6">
                <a:lumMod val="40000"/>
                <a:lumOff val="60000"/>
              </a:schemeClr>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u Onyejegbu" refreshedDate="45918.868694675926" createdVersion="8" refreshedVersion="8" minRefreshableVersion="3" recordCount="200" xr:uid="{00000000-000A-0000-FFFF-FFFF79000000}">
  <cacheSource type="worksheet">
    <worksheetSource name="Table1"/>
  </cacheSource>
  <cacheFields count="17">
    <cacheField name="student_id" numFmtId="0">
      <sharedItems count="200">
        <s v="S087"/>
        <s v="S084"/>
        <s v="S061"/>
        <s v="S072"/>
        <s v="S121"/>
        <s v="S194"/>
        <s v="S054"/>
        <s v="S116"/>
        <s v="S021"/>
        <s v="S147"/>
        <s v="S133"/>
        <s v="S171"/>
        <s v="S175"/>
        <s v="S037"/>
        <s v="S123"/>
        <s v="S151"/>
        <s v="S183"/>
        <s v="S142"/>
        <s v="S115"/>
        <s v="S034"/>
        <s v="S128"/>
        <s v="S196"/>
        <s v="S152"/>
        <s v="S110"/>
        <s v="S168"/>
        <s v="S199"/>
        <s v="S073"/>
        <s v="S032"/>
        <s v="S049"/>
        <s v="S015"/>
        <s v="S136"/>
        <s v="S122"/>
        <s v="S174"/>
        <s v="S134"/>
        <s v="S165"/>
        <s v="S197"/>
        <s v="S005"/>
        <s v="S078"/>
        <s v="S077"/>
        <s v="S099"/>
        <s v="S139"/>
        <s v="S039"/>
        <s v="S083"/>
        <s v="S111"/>
        <s v="S065"/>
        <s v="S185"/>
        <s v="S124"/>
        <s v="S025"/>
        <s v="S108"/>
        <s v="S130"/>
        <s v="S126"/>
        <s v="S181"/>
        <s v="S038"/>
        <s v="S058"/>
        <s v="S106"/>
        <s v="S033"/>
        <s v="S085"/>
        <s v="S007"/>
        <s v="S158"/>
        <s v="S200"/>
        <s v="S093"/>
        <s v="S029"/>
        <s v="S043"/>
        <s v="S100"/>
        <s v="S056"/>
        <s v="S097"/>
        <s v="S066"/>
        <s v="S018"/>
        <s v="S030"/>
        <s v="S187"/>
        <s v="S022"/>
        <s v="S062"/>
        <s v="S064"/>
        <s v="S129"/>
        <s v="S182"/>
        <s v="S098"/>
        <s v="S024"/>
        <s v="S003"/>
        <s v="S119"/>
        <s v="S164"/>
        <s v="S006"/>
        <s v="S103"/>
        <s v="S019"/>
        <s v="S148"/>
        <s v="S057"/>
        <s v="S012"/>
        <s v="S138"/>
        <s v="S144"/>
        <s v="S040"/>
        <s v="S141"/>
        <s v="S179"/>
        <s v="S112"/>
        <s v="S009"/>
        <s v="S113"/>
        <s v="S031"/>
        <s v="S055"/>
        <s v="S176"/>
        <s v="S041"/>
        <s v="S080"/>
        <s v="S016"/>
        <s v="S004"/>
        <s v="S092"/>
        <s v="S195"/>
        <s v="S157"/>
        <s v="S069"/>
        <s v="S075"/>
        <s v="S154"/>
        <s v="S188"/>
        <s v="S059"/>
        <s v="S146"/>
        <s v="S131"/>
        <s v="S104"/>
        <s v="S082"/>
        <s v="S068"/>
        <s v="S191"/>
        <s v="S089"/>
        <s v="S169"/>
        <s v="S035"/>
        <s v="S036"/>
        <s v="S046"/>
        <s v="S047"/>
        <s v="S101"/>
        <s v="S162"/>
        <s v="S180"/>
        <s v="S102"/>
        <s v="S118"/>
        <s v="S013"/>
        <s v="S048"/>
        <s v="S172"/>
        <s v="S173"/>
        <s v="S178"/>
        <s v="S081"/>
        <s v="S052"/>
        <s v="S177"/>
        <s v="S192"/>
        <s v="S050"/>
        <s v="S135"/>
        <s v="S044"/>
        <s v="S167"/>
        <s v="S001"/>
        <s v="S014"/>
        <s v="S166"/>
        <s v="S026"/>
        <s v="S163"/>
        <s v="S140"/>
        <s v="S145"/>
        <s v="S120"/>
        <s v="S155"/>
        <s v="S023"/>
        <s v="S074"/>
        <s v="S159"/>
        <s v="S011"/>
        <s v="S060"/>
        <s v="S094"/>
        <s v="S027"/>
        <s v="S137"/>
        <s v="S017"/>
        <s v="S051"/>
        <s v="S132"/>
        <s v="S193"/>
        <s v="S096"/>
        <s v="S088"/>
        <s v="S198"/>
        <s v="S095"/>
        <s v="S190"/>
        <s v="S153"/>
        <s v="S091"/>
        <s v="S063"/>
        <s v="S053"/>
        <s v="S127"/>
        <s v="S028"/>
        <s v="S079"/>
        <s v="S086"/>
        <s v="S114"/>
        <s v="S149"/>
        <s v="S076"/>
        <s v="S045"/>
        <s v="S117"/>
        <s v="S161"/>
        <s v="S002"/>
        <s v="S010"/>
        <s v="S160"/>
        <s v="S105"/>
        <s v="S070"/>
        <s v="S090"/>
        <s v="S107"/>
        <s v="S156"/>
        <s v="S189"/>
        <s v="S109"/>
        <s v="S042"/>
        <s v="S186"/>
        <s v="S170"/>
        <s v="S150"/>
        <s v="S067"/>
        <s v="S125"/>
        <s v="S071"/>
        <s v="S184"/>
        <s v="S143"/>
        <s v="S008"/>
        <s v="S020"/>
      </sharedItems>
    </cacheField>
    <cacheField name="hours_studied" numFmtId="0">
      <sharedItems containsSemiMixedTypes="0" containsString="0" containsNumber="1" minValue="1" maxValue="12" count="96">
        <n v="12"/>
        <n v="10.9"/>
        <n v="11.9"/>
        <n v="11.4"/>
        <n v="9.4"/>
        <n v="11.2"/>
        <n v="11.3"/>
        <n v="10.6"/>
        <n v="9.9"/>
        <n v="6.9"/>
        <n v="10.7"/>
        <n v="10.1"/>
        <n v="9.6"/>
        <n v="11.8"/>
        <n v="7"/>
        <n v="11"/>
        <n v="11.7"/>
        <n v="10.5"/>
        <n v="8.1"/>
        <n v="11.5"/>
        <n v="8.4"/>
        <n v="9"/>
        <n v="8"/>
        <n v="6.3"/>
        <n v="7.1"/>
        <n v="9.1"/>
        <n v="6"/>
        <n v="11.1"/>
        <n v="7.4"/>
        <n v="10.3"/>
        <n v="5.4"/>
        <n v="6.8"/>
        <n v="5.8"/>
        <n v="4.5999999999999996"/>
        <n v="7.8"/>
        <n v="10.8"/>
        <n v="7.5"/>
        <n v="10.199999999999999"/>
        <n v="9.6999999999999993"/>
        <n v="3.5"/>
        <n v="7.7"/>
        <n v="9.5"/>
        <n v="7.6"/>
        <n v="8.6999999999999993"/>
        <n v="8.5"/>
        <n v="2.7"/>
        <n v="4"/>
        <n v="2.9"/>
        <n v="6.6"/>
        <n v="6.2"/>
        <n v="5.7"/>
        <n v="3.9"/>
        <n v="5.6"/>
        <n v="6.5"/>
        <n v="3.1"/>
        <n v="8.8000000000000007"/>
        <n v="3.7"/>
        <n v="7.9"/>
        <n v="5.9"/>
        <n v="4.7"/>
        <n v="4.5"/>
        <n v="8.1999999999999993"/>
        <n v="6.7"/>
        <n v="2.8"/>
        <n v="3.3"/>
        <n v="4.4000000000000004"/>
        <n v="1.4"/>
        <n v="2"/>
        <n v="3.4"/>
        <n v="5.2"/>
        <n v="3.6"/>
        <n v="2.1"/>
        <n v="1.1000000000000001"/>
        <n v="6.1"/>
        <n v="8.9"/>
        <n v="1.3"/>
        <n v="4.0999999999999996"/>
        <n v="7.3"/>
        <n v="7.2"/>
        <n v="5"/>
        <n v="1.9"/>
        <n v="4.2"/>
        <n v="3.2"/>
        <n v="1.8"/>
        <n v="2.4"/>
        <n v="2.2999999999999998"/>
        <n v="5.0999999999999996"/>
        <n v="1.6"/>
        <n v="1.7"/>
        <n v="2.2000000000000002"/>
        <n v="1.2"/>
        <n v="3"/>
        <n v="4.3"/>
        <n v="1.5"/>
        <n v="2.5"/>
        <n v="1"/>
      </sharedItems>
    </cacheField>
    <cacheField name="sleep_hours" numFmtId="0">
      <sharedItems containsSemiMixedTypes="0" containsString="0" containsNumber="1" minValue="4" maxValue="9"/>
    </cacheField>
    <cacheField name="attendance_percent" numFmtId="0">
      <sharedItems containsSemiMixedTypes="0" containsString="0" containsNumber="1" minValue="50.3" maxValue="100"/>
    </cacheField>
    <cacheField name="Attendance %" numFmtId="164">
      <sharedItems containsSemiMixedTypes="0" containsString="0" containsNumber="1" minValue="0.503" maxValue="1" count="167">
        <n v="0.71"/>
        <n v="0.877"/>
        <n v="0.53900000000000003"/>
        <n v="0.77099999999999991"/>
        <n v="1"/>
        <n v="0.89900000000000002"/>
        <n v="0.63"/>
        <n v="0.91599999999999993"/>
        <n v="0.70700000000000007"/>
        <n v="0.97900000000000009"/>
        <n v="0.78200000000000003"/>
        <n v="0.85400000000000009"/>
        <n v="0.63500000000000001"/>
        <n v="0.625"/>
        <n v="0.82499999999999996"/>
        <n v="0.84499999999999997"/>
        <n v="0.91500000000000004"/>
        <n v="0.98199999999999998"/>
        <n v="0.87599999999999989"/>
        <n v="0.6"/>
        <n v="0.94"/>
        <n v="0.81400000000000006"/>
        <n v="0.69"/>
        <n v="0.98"/>
        <n v="0.505"/>
        <n v="0.70799999999999996"/>
        <n v="0.71299999999999997"/>
        <n v="0.88300000000000001"/>
        <n v="0.67500000000000004"/>
        <n v="0.98299999999999998"/>
        <n v="0.60899999999999999"/>
        <n v="0.92500000000000004"/>
        <n v="0.85099999999999998"/>
        <n v="0.89800000000000002"/>
        <n v="0.84799999999999998"/>
        <n v="0.79200000000000004"/>
        <n v="0.7340000000000001"/>
        <n v="0.87400000000000011"/>
        <n v="0.72799999999999998"/>
        <n v="0.67599999999999993"/>
        <n v="0.60599999999999998"/>
        <n v="0.77"/>
        <n v="0.94099999999999995"/>
        <n v="0.8909999999999999"/>
        <n v="0.747"/>
        <n v="0.73099999999999998"/>
        <n v="0.57600000000000007"/>
        <n v="0.63400000000000001"/>
        <n v="0.92400000000000004"/>
        <n v="0.7609999999999999"/>
        <n v="0.82099999999999995"/>
        <n v="0.58799999999999997"/>
        <n v="0.92700000000000005"/>
        <n v="0.54200000000000004"/>
        <n v="0.99199999999999999"/>
        <n v="0.97400000000000009"/>
        <n v="0.71799999999999997"/>
        <n v="0.875"/>
        <n v="0.79799999999999993"/>
        <n v="0.56399999999999995"/>
        <n v="0.81900000000000006"/>
        <n v="0.70200000000000007"/>
        <n v="0.56899999999999995"/>
        <n v="0.73799999999999999"/>
        <n v="0.88500000000000001"/>
        <n v="0.73199999999999998"/>
        <n v="0.81499999999999995"/>
        <n v="0.64300000000000002"/>
        <n v="0.66"/>
        <n v="0.51"/>
        <n v="0.92599999999999993"/>
        <n v="0.58299999999999996"/>
        <n v="0.73699999999999999"/>
        <n v="0.67099999999999993"/>
        <n v="0.58499999999999996"/>
        <n v="0.69700000000000006"/>
        <n v="0.69799999999999995"/>
        <n v="0.80400000000000005"/>
        <n v="0.51300000000000001"/>
        <n v="0.90099999999999991"/>
        <n v="0.91"/>
        <n v="0.66299999999999992"/>
        <n v="0.81599999999999995"/>
        <n v="0.88099999999999989"/>
        <n v="0.55299999999999994"/>
        <n v="0.624"/>
        <n v="0.90400000000000003"/>
        <n v="0.83400000000000007"/>
        <n v="0.51200000000000001"/>
        <n v="0.95099999999999996"/>
        <n v="0.61"/>
        <n v="0.67"/>
        <n v="0.56100000000000005"/>
        <n v="0.85299999999999998"/>
        <n v="0.8859999999999999"/>
        <n v="0.80500000000000005"/>
        <n v="0.81299999999999994"/>
        <n v="0.83900000000000008"/>
        <n v="0.56299999999999994"/>
        <n v="0.503"/>
        <n v="0.84699999999999998"/>
        <n v="0.77300000000000002"/>
        <n v="0.81799999999999995"/>
        <n v="0.75900000000000001"/>
        <n v="0.52500000000000002"/>
        <n v="0.80599999999999994"/>
        <n v="0.86"/>
        <n v="0.81099999999999994"/>
        <n v="0.68500000000000005"/>
        <n v="0.86599999999999999"/>
        <n v="0.54100000000000004"/>
        <n v="0.83599999999999997"/>
        <n v="0.752"/>
        <n v="0.86699999999999999"/>
        <n v="0.74199999999999999"/>
        <n v="0.872"/>
        <n v="0.76900000000000002"/>
        <n v="0.59099999999999997"/>
        <n v="0.77400000000000002"/>
        <n v="0.85"/>
        <n v="0.97499999999999998"/>
        <n v="0.72099999999999997"/>
        <n v="0.61199999999999999"/>
        <n v="0.91099999999999992"/>
        <n v="0.622"/>
        <n v="0.753"/>
        <n v="0.55700000000000005"/>
        <n v="0.65599999999999992"/>
        <n v="0.59699999999999998"/>
        <n v="0.60299999999999998"/>
        <n v="0.90900000000000003"/>
        <n v="0.63700000000000001"/>
        <n v="0.51500000000000001"/>
        <n v="0.82799999999999996"/>
        <n v="0.58399999999999996"/>
        <n v="0.94900000000000007"/>
        <n v="0.83499999999999996"/>
        <n v="0.84"/>
        <n v="0.63800000000000001"/>
        <n v="0.66799999999999993"/>
        <n v="0.51400000000000001"/>
        <n v="0.55100000000000005"/>
        <n v="0.63600000000000001"/>
        <n v="0.92799999999999994"/>
        <n v="0.97699999999999998"/>
        <n v="0.85799999999999998"/>
        <n v="0.95200000000000007"/>
        <n v="0.94599999999999995"/>
        <n v="0.626"/>
        <n v="0.71400000000000008"/>
        <n v="0.60699999999999998"/>
        <n v="0.67400000000000004"/>
        <n v="0.53200000000000003"/>
        <n v="0.80200000000000005"/>
        <n v="0.56799999999999995"/>
        <n v="0.8"/>
        <n v="0.68900000000000006"/>
        <n v="0.99400000000000011"/>
        <n v="0.91400000000000003"/>
        <n v="0.53799999999999992"/>
        <n v="0.61599999999999999"/>
        <n v="0.82599999999999996"/>
        <n v="0.70400000000000007"/>
        <n v="0.54299999999999993"/>
        <n v="0.55399999999999994"/>
        <n v="0.75800000000000001"/>
        <n v="0.53600000000000003"/>
      </sharedItems>
    </cacheField>
    <cacheField name="previous_scores" numFmtId="0">
      <sharedItems containsSemiMixedTypes="0" containsString="0" containsNumber="1" containsInteger="1" minValue="40" maxValue="95"/>
    </cacheField>
    <cacheField name="exam_score" numFmtId="0">
      <sharedItems containsSemiMixedTypes="0" containsString="0" containsNumber="1" minValue="17.100000000000001" maxValue="51.3"/>
    </cacheField>
    <cacheField name="Exam Score (2)" numFmtId="0">
      <sharedItems containsSemiMixedTypes="0" containsString="0" containsNumber="1" minValue="17.100000000000001" maxValue="51.3" count="139">
        <n v="51.3"/>
        <n v="48.9"/>
        <n v="48.6"/>
        <n v="47.9"/>
        <n v="46.7"/>
        <n v="46.4"/>
        <n v="46"/>
        <n v="45.8"/>
        <n v="45.7"/>
        <n v="45.3"/>
        <n v="44.8"/>
        <n v="44.7"/>
        <n v="44.1"/>
        <n v="43.3"/>
        <n v="43.1"/>
        <n v="42.7"/>
        <n v="42.3"/>
        <n v="42.2"/>
        <n v="42"/>
        <n v="41.9"/>
        <n v="41.6"/>
        <n v="41.2"/>
        <n v="41.1"/>
        <n v="40.9"/>
        <n v="40.799999999999997"/>
        <n v="40.6"/>
        <n v="40.4"/>
        <n v="40.299999999999997"/>
        <n v="39.9"/>
        <n v="39.799999999999997"/>
        <n v="39.6"/>
        <n v="39.5"/>
        <n v="39.4"/>
        <n v="39.299999999999997"/>
        <n v="39.200000000000003"/>
        <n v="38.6"/>
        <n v="38.4"/>
        <n v="38.299999999999997"/>
        <n v="38.200000000000003"/>
        <n v="38.1"/>
        <n v="38"/>
        <n v="37.9"/>
        <n v="37.799999999999997"/>
        <n v="37.5"/>
        <n v="37.200000000000003"/>
        <n v="37.1"/>
        <n v="37"/>
        <n v="36.9"/>
        <n v="36.700000000000003"/>
        <n v="36.299999999999997"/>
        <n v="36.200000000000003"/>
        <n v="36.1"/>
        <n v="36"/>
        <n v="35.9"/>
        <n v="35.799999999999997"/>
        <n v="35.700000000000003"/>
        <n v="35.6"/>
        <n v="35.5"/>
        <n v="35.200000000000003"/>
        <n v="35.1"/>
        <n v="35"/>
        <n v="34.799999999999997"/>
        <n v="34.700000000000003"/>
        <n v="34.6"/>
        <n v="34.5"/>
        <n v="34.4"/>
        <n v="34.200000000000003"/>
        <n v="34.1"/>
        <n v="34"/>
        <n v="33.799999999999997"/>
        <n v="33.6"/>
        <n v="33.5"/>
        <n v="33.4"/>
        <n v="33"/>
        <n v="32.9"/>
        <n v="32.6"/>
        <n v="32.4"/>
        <n v="32.200000000000003"/>
        <n v="32.1"/>
        <n v="32"/>
        <n v="31.8"/>
        <n v="31.6"/>
        <n v="31.4"/>
        <n v="31.3"/>
        <n v="31.2"/>
        <n v="31.1"/>
        <n v="31"/>
        <n v="30.8"/>
        <n v="30.7"/>
        <n v="30.6"/>
        <n v="30.3"/>
        <n v="30.2"/>
        <n v="30.1"/>
        <n v="30"/>
        <n v="29.9"/>
        <n v="29.8"/>
        <n v="29.7"/>
        <n v="29.6"/>
        <n v="29.5"/>
        <n v="29.3"/>
        <n v="29.2"/>
        <n v="29.1"/>
        <n v="29"/>
        <n v="28.9"/>
        <n v="28.8"/>
        <n v="28.7"/>
        <n v="28.6"/>
        <n v="28.2"/>
        <n v="28.1"/>
        <n v="28"/>
        <n v="27.7"/>
        <n v="27.3"/>
        <n v="27.1"/>
        <n v="26.9"/>
        <n v="26.8"/>
        <n v="26.5"/>
        <n v="26.4"/>
        <n v="26.3"/>
        <n v="26.1"/>
        <n v="25.2"/>
        <n v="25"/>
        <n v="24.7"/>
        <n v="24.1"/>
        <n v="23.9"/>
        <n v="23.7"/>
        <n v="23.6"/>
        <n v="23.4"/>
        <n v="23.2"/>
        <n v="23.1"/>
        <n v="22.9"/>
        <n v="22.8"/>
        <n v="21.9"/>
        <n v="21.7"/>
        <n v="21.2"/>
        <n v="20.8"/>
        <n v="19.399999999999999"/>
        <n v="19"/>
        <n v="18.3"/>
        <n v="17.100000000000001"/>
      </sharedItems>
    </cacheField>
    <cacheField name="Study_efficiency" numFmtId="0">
      <sharedItems containsSemiMixedTypes="0" containsString="0" containsNumber="1" minValue="3.08" maxValue="28.55"/>
    </cacheField>
    <cacheField name="Sleep-study balance" numFmtId="0">
      <sharedItems containsSemiMixedTypes="0" containsString="0" containsNumber="1" minValue="0.37" maxValue="7.73" count="301">
        <n v="0.68"/>
        <n v="0.49"/>
        <n v="0.71"/>
        <n v="0.48"/>
        <n v="0.88"/>
        <n v="0.6"/>
        <n v="0.56000000000000005"/>
        <n v="0.79"/>
        <n v="0.89"/>
        <n v="1.28"/>
        <n v="0.74"/>
        <n v="0.59"/>
        <n v="0.84"/>
        <n v="0.75"/>
        <n v="0.47"/>
        <n v="0.73"/>
        <n v="0.72"/>
        <n v="0.63"/>
        <n v="0.78"/>
        <n v="0.51"/>
        <n v="0.83"/>
        <n v="0.61"/>
        <n v="0.69"/>
        <n v="0.54"/>
        <n v="0.93"/>
        <n v="1.0900000000000001"/>
        <n v="1.32"/>
        <n v="1.29"/>
        <n v="0.77"/>
        <n v="0.39"/>
        <n v="0.86"/>
        <n v="0.7"/>
        <n v="1.1299999999999999"/>
        <n v="0.41"/>
        <n v="0.38"/>
        <n v="0.67"/>
        <n v="0.97"/>
        <n v="0.8"/>
        <n v="1.1100000000000001"/>
        <n v="1.24"/>
        <n v="0.37"/>
        <n v="1.47"/>
        <n v="0.82"/>
        <n v="1.67"/>
        <n v="0.56999999999999995"/>
        <n v="1.01"/>
        <n v="1.19"/>
        <n v="0.62"/>
        <n v="1.89"/>
        <n v="1.17"/>
        <n v="1.1599999999999999"/>
        <n v="0.44"/>
        <n v="1.05"/>
        <n v="0.65"/>
        <n v="2.85"/>
        <n v="2.0499999999999998"/>
        <n v="0.96"/>
        <n v="1.52"/>
        <n v="1.2"/>
        <n v="0.98"/>
        <n v="1.31"/>
        <n v="1.39"/>
        <n v="1.37"/>
        <n v="1"/>
        <n v="1.87"/>
        <n v="1.62"/>
        <n v="1.65"/>
        <n v="2.52"/>
        <n v="1.84"/>
        <n v="6.36"/>
        <n v="3.05"/>
        <n v="1.18"/>
        <n v="2.11"/>
        <n v="2.48"/>
        <n v="7.73"/>
        <n v="1.34"/>
        <n v="4.8499999999999996"/>
        <n v="1.46"/>
        <n v="1.04"/>
        <n v="1.06"/>
        <n v="2.36"/>
        <n v="3.48"/>
        <n v="1.73"/>
        <n v="1.1000000000000001"/>
        <n v="4.42"/>
        <n v="2.0699999999999998"/>
        <n v="1.91"/>
        <n v="3.83"/>
        <n v="2"/>
        <n v="2.29"/>
        <n v="3.19"/>
        <n v="3.87"/>
        <n v="1.43"/>
        <n v="1.93"/>
        <n v="1.56"/>
        <n v="0.95"/>
        <n v="3.25"/>
        <n v="2.83"/>
        <n v="3.31"/>
        <n v="1.49"/>
        <n v="4.3099999999999996"/>
        <n v="4.53"/>
        <n v="1.25"/>
        <n v="1.5"/>
        <n v="1.82"/>
        <n v="4.75"/>
        <n v="3.95"/>
        <n v="1.38"/>
        <n v="2.5"/>
        <n v="2.25"/>
        <n v="0.85"/>
        <n v="2.63"/>
        <n v="1.4"/>
        <n v="4.22"/>
        <n v="6.62"/>
        <n v="6.85"/>
        <n v="1.21"/>
        <n v="1.03"/>
        <n v="3.6"/>
        <n v="2.81"/>
        <n v="1.33"/>
        <n v="4.5999999999999996"/>
        <n v="3.44"/>
        <n v="1.36"/>
        <n v="2.0299999999999998"/>
        <n v="4.0999999999999996"/>
        <n v="2.4500000000000002"/>
        <n v="2.86"/>
        <n v="2.15"/>
        <n v="5"/>
        <n v="1.3870967741935483" u="1"/>
        <n v="1.8857142857142857" u="1"/>
        <n v="4.5294117647058822" u="1"/>
        <n v="1.0256410256410258" u="1"/>
        <n v="2.0714285714285712" u="1"/>
        <n v="0.68181818181818188" u="1"/>
        <n v="0.77083333333333337" u="1"/>
        <n v="0.78947368421052633" u="1"/>
        <n v="1.1333333333333333" u="1"/>
        <n v="1.517241379310345" u="1"/>
        <n v="0.47169811320754718" u="1"/>
        <n v="1.0144927536231882" u="1"/>
        <n v="1.4634146341463417" u="1"/>
        <n v="1.4864864864864864" u="1"/>
        <n v="1.6730769230769229" u="1"/>
        <n v="0.60000000000000009" u="1"/>
        <n v="1.4722222222222221" u="1"/>
        <n v="3.9523809523809526" u="1"/>
        <n v="4.6000000000000005" u="1"/>
        <n v="4.8461538461538458" u="1"/>
        <n v="0.46610169491525422" u="1"/>
        <n v="0.97297297297297292" u="1"/>
        <n v="0.82178217821782185" u="1"/>
        <n v="1.0133333333333332" u="1"/>
        <n v="1.892857142857143" u="1"/>
        <n v="0.55555555555555547" u="1"/>
        <n v="0.647887323943662" u="1"/>
        <n v="0.86170212765957444" u="1"/>
        <n v="1.1578947368421053" u="1"/>
        <n v="1.2903225806451613" u="1"/>
        <n v="2.4545454545454546" u="1"/>
        <n v="0.61764705882352944" u="1"/>
        <n v="0.58585858585858586" u="1"/>
        <n v="0.89285714285714279" u="1"/>
        <n v="0.43809523809523804" u="1"/>
        <n v="0.63247863247863256" u="1"/>
        <n v="1.2753623188405798" u="1"/>
        <n v="1.3333333333333333" u="1"/>
        <n v="3.3124999999999996" u="1"/>
        <n v="1.8181818181818181" u="1"/>
        <n v="0.37391304347826088" u="1"/>
        <n v="1.0555555555555556" u="1"/>
        <n v="2.8571428571428572" u="1"/>
        <n v="0.88888888888888895" u="1"/>
        <n v="0.84158415841584167" u="1"/>
        <n v="2.6315789473684212" u="1"/>
        <n v="0.8271604938271605" u="1"/>
        <n v="0.96470588235294108" u="1"/>
        <n v="1.0864197530864199" u="1"/>
        <n v="1.1764705882352942" u="1"/>
        <n v="1.2542372881355932" u="1"/>
        <n v="1.6222222222222222" u="1"/>
        <n v="0.46601941747572811" u="1"/>
        <n v="1.0535714285714286" u="1"/>
        <n v="1.3714285714285714" u="1"/>
        <n v="2.833333333333333" u="1"/>
        <n v="1.1688311688311688" u="1"/>
        <n v="0.6071428571428571" u="1"/>
        <n v="0.74789915966386555" u="1"/>
        <n v="0.84444444444444444" u="1"/>
        <n v="1.0512820512820513" u="1"/>
        <n v="1.3174603174603177" u="1"/>
        <n v="1.1282051282051284" u="1"/>
        <n v="1.8918918918918919" u="1"/>
        <n v="2.3636363636363638" u="1"/>
        <n v="0.98245614035087714" u="1"/>
        <n v="0.39473684210526316" u="1"/>
        <n v="0.56666666666666665" u="1"/>
        <n v="0.67021276595744672" u="1"/>
        <n v="0.72857142857142854" u="1"/>
        <n v="0.95945945945945932" u="1"/>
        <n v="0.84375" u="1"/>
        <n v="0.85185185185185175" u="1"/>
        <n v="1.8723404255319149" u="1"/>
        <n v="0.81690140845070425" u="1"/>
        <n v="0.67796610169491522" u="1"/>
        <n v="0.69318181818181812" u="1"/>
        <n v="6.615384615384615" u="1"/>
        <n v="0.7528089887640449" u="1"/>
        <n v="6.8461538461538458" u="1"/>
        <n v="0.71818181818181825" u="1"/>
        <n v="0.85915492957746475" u="1"/>
        <n v="0.94642857142857151" u="1"/>
        <n v="1.2051282051282053" u="1"/>
        <n v="0.80188679245283023" u="1"/>
        <n v="0.88297872340425532" u="1"/>
        <n v="0.88749999999999996" u="1"/>
        <n v="1.2820512820512822" u="1"/>
        <n v="1.5588235294117647" u="1"/>
        <n v="0.37606837606837612" u="1"/>
        <n v="0.70329670329670335" u="1"/>
        <n v="7.7272727272727266" u="1"/>
        <n v="0.40540540540540543" u="1"/>
        <n v="0.66666666666666663" u="1"/>
        <n v="2.4761904761904763" u="1"/>
        <n v="0.59821428571428581" u="1"/>
        <n v="0.66666666666666674" u="1"/>
        <n v="1.2857142857142858" u="1"/>
        <n v="1.9333333333333331" u="1"/>
        <n v="0.59292035398230092" u="1"/>
        <n v="0.74766355140186924" u="1"/>
        <n v="2.5151515151515156" u="1"/>
        <n v="0.51428571428571435" u="1"/>
        <n v="0.44444444444444448" u="1"/>
        <n v="0.48245614035087719" u="1"/>
        <n v="0.92500000000000004" u="1"/>
        <n v="4.2222222222222223" u="1"/>
        <n v="1.6486486486486485" u="1"/>
        <n v="0.58823529411764708" u="1"/>
        <n v="1.8235294117647061" u="1"/>
        <n v="0.68867924528301883" u="1"/>
        <n v="1.8409090909090906" u="1"/>
        <n v="6.3571428571428577" u="1"/>
        <n v="0.5083333333333333" u="1"/>
        <n v="0.73831775700934588" u="1"/>
        <n v="3.1851851851851847" u="1"/>
        <n v="2.0285714285714285" u="1"/>
        <n v="3.8333333333333335" u="1"/>
        <n v="1.0410958904109588" u="1"/>
        <n v="1.1851851851851851" u="1"/>
        <n v="1.2898550724637681" u="1"/>
        <n v="4.4210526315789478" u="1"/>
        <n v="0.70886075949367078" u="1"/>
        <n v="0.65476190476190477" u="1"/>
        <n v="1.9062499999999998" u="1"/>
        <n v="1.3636363636363635" u="1"/>
        <n v="0.7961165048543688" u="1"/>
        <n v="1.425531914893617" u="1"/>
        <n v="1.7317073170731707" u="1"/>
        <n v="0.5679012345679012" u="1"/>
        <n v="1.3953488372093024" u="1"/>
        <n v="1.4655172413793105" u="1"/>
        <n v="2.8064516129032255" u="1"/>
        <n v="0.57317073170731714" u="1"/>
        <n v="2.291666666666667" u="1"/>
        <n v="4.3125" u="1"/>
        <n v="1.3076923076923077" u="1"/>
        <n v="3.8695652173913047" u="1"/>
        <n v="0.56470588235294117" u="1"/>
        <n v="0.60833333333333328" u="1"/>
        <n v="0.70666666666666667" u="1"/>
        <n v="0.72173913043478266" u="1"/>
        <n v="1.2419354838709677" u="1"/>
        <n v="0.68333333333333324" u="1"/>
        <n v="0.62337662337662336" u="1"/>
        <n v="1.1111111111111109" u="1"/>
        <n v="1.1702127659574468" u="1"/>
        <n v="0.54444444444444451" u="1"/>
        <n v="1.1111111111111112" u="1"/>
        <n v="1.2352941176470589" u="1"/>
        <n v="3.4761904761904758" u="1"/>
        <n v="0.48623853211009171" u="1"/>
        <n v="0.48484848484848481" u="1"/>
        <n v="1.517857142857143" u="1"/>
        <n v="0.56190476190476191" u="1"/>
        <n v="2.1111111111111112" u="1"/>
        <n v="2.8518518518518516" u="1"/>
        <n v="0.68656716417910446" u="1"/>
        <n v="0.79310344827586221" u="1"/>
        <n v="1.3846153846153848" u="1"/>
        <n v="1.4000000000000001" u="1"/>
        <n v="1.4680851063829787" u="1"/>
        <n v="0.55752212389380529" u="1"/>
        <n v="0.74226804123711343" u="1"/>
        <n v="0.7767857142857143" u="1"/>
        <n v="0.79245283018867929" u="1"/>
        <n v="1.0980392156862746" u="1"/>
        <n v="1.196969696969697" u="1"/>
        <n v="0.70588235294117652" u="1"/>
        <n v="1.3442622950819672" u="1"/>
        <n v="1.673913043478261" u="1"/>
      </sharedItems>
    </cacheField>
    <cacheField name="Total Scores" numFmtId="0">
      <sharedItems containsSemiMixedTypes="0" containsString="0" containsNumber="1" minValue="60.8" maxValue="146.30000000000001"/>
    </cacheField>
    <cacheField name="Improvement Rate" numFmtId="9">
      <sharedItems containsSemiMixedTypes="0" containsString="0" containsNumber="1" minValue="-0.7369230769230769" maxValue="-4.2222222222222189E-2"/>
    </cacheField>
    <cacheField name="Weight of Previous Scores" numFmtId="2">
      <sharedItems containsSemiMixedTypes="0" containsString="0" containsNumber="1" minValue="0.51078320090805907" maxValue="0.79171741778319127"/>
    </cacheField>
    <cacheField name="Weight of Exam Score" numFmtId="2">
      <sharedItems containsSemiMixedTypes="0" containsString="0" containsNumber="1" minValue="0.20828258221680881" maxValue="0.48921679909194105"/>
    </cacheField>
    <cacheField name="Ultimate Study Efficiency" numFmtId="2">
      <sharedItems containsSemiMixedTypes="0" containsString="0" containsNumber="1" minValue="3.0749999999999997" maxValue="28.545454545454543"/>
    </cacheField>
    <cacheField name="Weighted Average" numFmtId="2">
      <sharedItems containsSemiMixedTypes="0" containsString="0" containsNumber="1" minValue="33.431578947368422" maxValue="79.676623376623368"/>
    </cacheField>
    <cacheField name="Weighted Average Distribution" numFmtId="2">
      <sharedItems count="8">
        <s v="High"/>
        <s v="Average"/>
        <s v="Low"/>
        <s v="Formula4" f="1"/>
        <s v="Formula3" f="1"/>
        <s v="Formula2" f="1"/>
        <s v="Formula1" f="1"/>
        <s v="Formula5" f="1"/>
      </sharedItems>
    </cacheField>
  </cacheFields>
  <calculatedItems count="5">
    <calculatedItem>
      <pivotArea cacheIndex="1" outline="0" fieldPosition="0">
        <references count="1">
          <reference field="16" count="1">
            <x v="6"/>
          </reference>
        </references>
      </pivotArea>
    </calculatedItem>
    <calculatedItem>
      <pivotArea cacheIndex="1" outline="0" fieldPosition="0">
        <references count="1">
          <reference field="16" count="1">
            <x v="5"/>
          </reference>
        </references>
      </pivotArea>
    </calculatedItem>
    <calculatedItem>
      <pivotArea cacheIndex="1" outline="0" fieldPosition="0">
        <references count="1">
          <reference field="16" count="1">
            <x v="4"/>
          </reference>
        </references>
      </pivotArea>
    </calculatedItem>
    <calculatedItem>
      <pivotArea cacheIndex="1" outline="0" fieldPosition="0">
        <references count="1">
          <reference field="16" count="1">
            <x v="3"/>
          </reference>
        </references>
      </pivotArea>
    </calculatedItem>
    <calculatedItem>
      <pivotArea cacheIndex="1" outline="0" fieldPosition="0">
        <references count="1">
          <reference field="16" count="1">
            <x v="7"/>
          </reference>
        </references>
      </pivotArea>
    </calculatedItem>
  </calculatedItems>
  <extLst>
    <ext xmlns:x14="http://schemas.microsoft.com/office/spreadsheetml/2009/9/main" uri="{725AE2AE-9491-48be-B2B4-4EB974FC3084}">
      <x14:pivotCacheDefinition pivotCacheId="16798071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u Onyejegbu" refreshedDate="45918.87898425926" createdVersion="8" refreshedVersion="8" minRefreshableVersion="3" recordCount="6" xr:uid="{00000000-000A-0000-FFFF-FFFF82000000}">
  <cacheSource type="worksheet">
    <worksheetSource ref="A1:P7" sheet="Mock Up Dataset"/>
  </cacheSource>
  <cacheFields count="16">
    <cacheField name="student_id" numFmtId="0">
      <sharedItems/>
    </cacheField>
    <cacheField name="hours_studied" numFmtId="0">
      <sharedItems containsSemiMixedTypes="0" containsString="0" containsNumber="1" minValue="9.4" maxValue="12"/>
    </cacheField>
    <cacheField name="sleep_hours" numFmtId="0">
      <sharedItems containsSemiMixedTypes="0" containsString="0" containsNumber="1" minValue="5.3" maxValue="8.4"/>
    </cacheField>
    <cacheField name="attendance_percent" numFmtId="0">
      <sharedItems containsSemiMixedTypes="0" containsString="0" containsNumber="1" minValue="53.9" maxValue="100"/>
    </cacheField>
    <cacheField name="Attendance %" numFmtId="164">
      <sharedItems containsSemiMixedTypes="0" containsString="0" containsNumber="1" minValue="0.53900000000000003" maxValue="1"/>
    </cacheField>
    <cacheField name="previous_scores" numFmtId="0">
      <sharedItems containsSemiMixedTypes="0" containsString="0" containsNumber="1" containsInteger="1" minValue="59" maxValue="95"/>
    </cacheField>
    <cacheField name="exam_score" numFmtId="0">
      <sharedItems containsSemiMixedTypes="0" containsString="0" containsNumber="1" minValue="46.7" maxValue="51.3" count="5">
        <n v="51.3"/>
        <n v="48.9"/>
        <n v="48.6"/>
        <n v="47.9"/>
        <n v="46.7"/>
      </sharedItems>
    </cacheField>
    <cacheField name="Study_efficiency" numFmtId="0">
      <sharedItems containsSemiMixedTypes="0" containsString="0" containsNumber="1" minValue="4.08" maxValue="5.0999999999999996"/>
    </cacheField>
    <cacheField name="Sleep-study balance" numFmtId="0">
      <sharedItems containsSemiMixedTypes="0" containsString="0" containsNumber="1" minValue="0.48" maxValue="0.88"/>
    </cacheField>
    <cacheField name="Total Scores" numFmtId="0">
      <sharedItems containsSemiMixedTypes="0" containsString="0" containsNumber="1" minValue="105.7" maxValue="146.30000000000001"/>
    </cacheField>
    <cacheField name="Improvement Rate" numFmtId="9">
      <sharedItems containsSemiMixedTypes="0" containsString="0" containsNumber="1" minValue="-0.46" maxValue="-0.2084745762711864"/>
    </cacheField>
    <cacheField name="Weight of Previous Scores" numFmtId="2">
      <sharedItems containsSemiMixedTypes="0" containsString="0" containsNumber="1" minValue="0.55818353831598866" maxValue="0.64935064935064934"/>
    </cacheField>
    <cacheField name="Weight of Exam Score" numFmtId="2">
      <sharedItems containsSemiMixedTypes="0" containsString="0" containsNumber="1" minValue="0.3506493506493506" maxValue="0.44181646168401134"/>
    </cacheField>
    <cacheField name="Ultimate Study Efficiency" numFmtId="2">
      <sharedItems containsSemiMixedTypes="0" containsString="0" containsNumber="1" minValue="4.0840336134453779" maxValue="5.0957446808510634"/>
    </cacheField>
    <cacheField name="Weighted Average" numFmtId="2">
      <sharedItems containsSemiMixedTypes="0" containsString="0" containsNumber="1" minValue="53.565657521286667" maxValue="79.676623376623368"/>
    </cacheField>
    <cacheField name="Weighted Average Distribution" numFmtId="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x v="0"/>
    <x v="0"/>
    <n v="8.1999999999999993"/>
    <n v="71"/>
    <x v="0"/>
    <n v="95"/>
    <n v="51.3"/>
    <x v="0"/>
    <n v="4.28"/>
    <x v="0"/>
    <n v="146.30000000000001"/>
    <n v="-0.46"/>
    <n v="0.64935064935064934"/>
    <n v="0.3506493506493506"/>
    <n v="4.2749999999999995"/>
    <n v="79.676623376623368"/>
    <x v="0"/>
  </r>
  <r>
    <x v="1"/>
    <x v="1"/>
    <n v="5.3"/>
    <n v="87.7"/>
    <x v="1"/>
    <n v="88"/>
    <n v="48.9"/>
    <x v="1"/>
    <n v="4.49"/>
    <x v="1"/>
    <n v="136.9"/>
    <n v="-0.44431818181818183"/>
    <n v="0.64280496712929147"/>
    <n v="0.35719503287070853"/>
    <n v="4.4862385321100913"/>
    <n v="74.033674214755294"/>
    <x v="0"/>
  </r>
  <r>
    <x v="2"/>
    <x v="2"/>
    <n v="8.4"/>
    <n v="53.9"/>
    <x v="2"/>
    <n v="78"/>
    <n v="48.6"/>
    <x v="2"/>
    <n v="4.08"/>
    <x v="2"/>
    <n v="126.6"/>
    <n v="-0.37692307692307692"/>
    <n v="0.61611374407582942"/>
    <n v="0.38388625592417064"/>
    <n v="4.0840336134453779"/>
    <n v="66.713744075829396"/>
    <x v="0"/>
  </r>
  <r>
    <x v="3"/>
    <x v="3"/>
    <n v="5.5"/>
    <n v="77.099999999999994"/>
    <x v="3"/>
    <n v="85"/>
    <n v="47.9"/>
    <x v="3"/>
    <n v="4.2"/>
    <x v="3"/>
    <n v="132.9"/>
    <n v="-0.43647058823529411"/>
    <n v="0.6395786305492851"/>
    <n v="0.36042136945071479"/>
    <n v="4.2017543859649118"/>
    <n v="71.628367193378466"/>
    <x v="0"/>
  </r>
  <r>
    <x v="4"/>
    <x v="4"/>
    <n v="8.3000000000000007"/>
    <n v="100"/>
    <x v="4"/>
    <n v="78"/>
    <n v="47.9"/>
    <x v="3"/>
    <n v="5.0999999999999996"/>
    <x v="4"/>
    <n v="125.9"/>
    <n v="-0.38589743589743591"/>
    <n v="0.61953931691818898"/>
    <n v="0.38046068308181091"/>
    <n v="5.0957446808510634"/>
    <n v="66.548133439237489"/>
    <x v="0"/>
  </r>
  <r>
    <x v="5"/>
    <x v="5"/>
    <n v="6.7"/>
    <n v="89.9"/>
    <x v="5"/>
    <n v="59"/>
    <n v="46.7"/>
    <x v="4"/>
    <n v="4.17"/>
    <x v="5"/>
    <n v="105.7"/>
    <n v="-0.2084745762711864"/>
    <n v="0.55818353831598866"/>
    <n v="0.44181646168401134"/>
    <n v="4.1696428571428577"/>
    <n v="53.565657521286667"/>
    <x v="1"/>
  </r>
  <r>
    <x v="6"/>
    <x v="6"/>
    <n v="6.3"/>
    <n v="63"/>
    <x v="6"/>
    <n v="87"/>
    <n v="46.4"/>
    <x v="5"/>
    <n v="4.1100000000000003"/>
    <x v="6"/>
    <n v="133.4"/>
    <n v="-0.46666666666666667"/>
    <n v="0.65217391304347827"/>
    <n v="0.34782608695652173"/>
    <n v="4.106194690265486"/>
    <n v="72.878260869565224"/>
    <x v="0"/>
  </r>
  <r>
    <x v="7"/>
    <x v="7"/>
    <n v="8.4"/>
    <n v="91.6"/>
    <x v="7"/>
    <n v="55"/>
    <n v="46.4"/>
    <x v="5"/>
    <n v="4.38"/>
    <x v="7"/>
    <n v="101.4"/>
    <n v="-0.1563636363636364"/>
    <n v="0.54240631163708086"/>
    <n v="0.45759368836291908"/>
    <n v="4.3773584905660377"/>
    <n v="51.064694280078896"/>
    <x v="1"/>
  </r>
  <r>
    <x v="8"/>
    <x v="8"/>
    <n v="8.8000000000000007"/>
    <n v="70.7"/>
    <x v="8"/>
    <n v="84"/>
    <n v="46"/>
    <x v="6"/>
    <n v="4.6500000000000004"/>
    <x v="8"/>
    <n v="130"/>
    <n v="-0.45238095238095238"/>
    <n v="0.64615384615384619"/>
    <n v="0.35384615384615387"/>
    <n v="4.6464646464646462"/>
    <n v="70.553846153846166"/>
    <x v="0"/>
  </r>
  <r>
    <x v="9"/>
    <x v="9"/>
    <n v="8.8000000000000007"/>
    <n v="97.9"/>
    <x v="9"/>
    <n v="82"/>
    <n v="45.8"/>
    <x v="7"/>
    <n v="6.64"/>
    <x v="9"/>
    <n v="127.8"/>
    <n v="-0.4414634146341464"/>
    <n v="0.64162754303599379"/>
    <n v="0.35837245696400627"/>
    <n v="6.6376811594202891"/>
    <n v="69.026917057902978"/>
    <x v="0"/>
  </r>
  <r>
    <x v="10"/>
    <x v="10"/>
    <n v="7.9"/>
    <n v="78.2"/>
    <x v="10"/>
    <n v="77"/>
    <n v="45.7"/>
    <x v="8"/>
    <n v="4.2699999999999996"/>
    <x v="10"/>
    <n v="122.7"/>
    <n v="-0.40649350649350646"/>
    <n v="0.62754686226568868"/>
    <n v="0.37245313773431132"/>
    <n v="4.2710280373831777"/>
    <n v="65.342216788916062"/>
    <x v="0"/>
  </r>
  <r>
    <x v="11"/>
    <x v="6"/>
    <n v="6.7"/>
    <n v="85.4"/>
    <x v="11"/>
    <n v="83"/>
    <n v="45.3"/>
    <x v="9"/>
    <n v="4.01"/>
    <x v="11"/>
    <n v="128.30000000000001"/>
    <n v="-0.45421686746987955"/>
    <n v="0.64692127825409196"/>
    <n v="0.35307872174590799"/>
    <n v="4.0088495575221232"/>
    <n v="69.688932190179258"/>
    <x v="0"/>
  </r>
  <r>
    <x v="12"/>
    <x v="8"/>
    <n v="5.8"/>
    <n v="63.5"/>
    <x v="12"/>
    <n v="90"/>
    <n v="44.8"/>
    <x v="10"/>
    <n v="4.53"/>
    <x v="11"/>
    <n v="134.80000000000001"/>
    <n v="-0.50222222222222224"/>
    <n v="0.66765578635014833"/>
    <n v="0.33234421364985156"/>
    <n v="4.5252525252525251"/>
    <n v="74.978041543026691"/>
    <x v="0"/>
  </r>
  <r>
    <x v="13"/>
    <x v="11"/>
    <n v="8.5"/>
    <n v="62.5"/>
    <x v="13"/>
    <n v="69"/>
    <n v="44.7"/>
    <x v="11"/>
    <n v="4.43"/>
    <x v="12"/>
    <n v="113.7"/>
    <n v="-0.35217391304347823"/>
    <n v="0.60686015831134565"/>
    <n v="0.39313984168865435"/>
    <n v="4.4257425742574261"/>
    <n v="59.446701846965702"/>
    <x v="1"/>
  </r>
  <r>
    <x v="14"/>
    <x v="12"/>
    <n v="8.1"/>
    <n v="82.5"/>
    <x v="14"/>
    <n v="90"/>
    <n v="44.1"/>
    <x v="12"/>
    <n v="4.59"/>
    <x v="12"/>
    <n v="134.1"/>
    <n v="-0.51"/>
    <n v="0.67114093959731547"/>
    <n v="0.32885906040268459"/>
    <n v="4.59375"/>
    <n v="74.905369127516778"/>
    <x v="0"/>
  </r>
  <r>
    <x v="15"/>
    <x v="2"/>
    <n v="8.9"/>
    <n v="84.5"/>
    <x v="15"/>
    <n v="51"/>
    <n v="44.1"/>
    <x v="12"/>
    <n v="3.71"/>
    <x v="13"/>
    <n v="95.1"/>
    <n v="-0.13529411764705879"/>
    <n v="0.5362776025236593"/>
    <n v="0.46372239747634075"/>
    <n v="3.7058823529411766"/>
    <n v="47.800315457413248"/>
    <x v="2"/>
  </r>
  <r>
    <x v="16"/>
    <x v="13"/>
    <n v="5.5"/>
    <n v="91.5"/>
    <x v="16"/>
    <n v="74"/>
    <n v="44.1"/>
    <x v="12"/>
    <n v="3.74"/>
    <x v="14"/>
    <n v="118.1"/>
    <n v="-0.40405405405405403"/>
    <n v="0.62658763759525826"/>
    <n v="0.37341236240474179"/>
    <n v="3.7372881355932202"/>
    <n v="62.834970364098226"/>
    <x v="1"/>
  </r>
  <r>
    <x v="17"/>
    <x v="14"/>
    <n v="5.0999999999999996"/>
    <n v="98.2"/>
    <x v="17"/>
    <n v="88"/>
    <n v="43.3"/>
    <x v="13"/>
    <n v="6.19"/>
    <x v="15"/>
    <n v="131.30000000000001"/>
    <n v="-0.50795454545454544"/>
    <n v="0.67022086824067018"/>
    <n v="0.32977913175932971"/>
    <n v="6.1857142857142851"/>
    <n v="73.258872810357943"/>
    <x v="0"/>
  </r>
  <r>
    <x v="18"/>
    <x v="15"/>
    <n v="7.9"/>
    <n v="87.6"/>
    <x v="18"/>
    <n v="45"/>
    <n v="43.1"/>
    <x v="14"/>
    <n v="3.92"/>
    <x v="16"/>
    <n v="88.1"/>
    <n v="-4.2222222222222189E-2"/>
    <n v="0.51078320090805907"/>
    <n v="0.48921679909194105"/>
    <n v="3.9181818181818184"/>
    <n v="44.070488081725316"/>
    <x v="2"/>
  </r>
  <r>
    <x v="19"/>
    <x v="16"/>
    <n v="7.4"/>
    <n v="97.9"/>
    <x v="9"/>
    <n v="61"/>
    <n v="42.7"/>
    <x v="15"/>
    <n v="3.65"/>
    <x v="17"/>
    <n v="103.7"/>
    <n v="-0.29999999999999993"/>
    <n v="0.58823529411764708"/>
    <n v="0.41176470588235298"/>
    <n v="3.6495726495726499"/>
    <n v="53.464705882352945"/>
    <x v="1"/>
  </r>
  <r>
    <x v="20"/>
    <x v="5"/>
    <n v="8.6999999999999993"/>
    <n v="60"/>
    <x v="19"/>
    <n v="64"/>
    <n v="42.7"/>
    <x v="15"/>
    <n v="3.81"/>
    <x v="18"/>
    <n v="106.7"/>
    <n v="-0.33281249999999996"/>
    <n v="0.59981255857544513"/>
    <n v="0.40018744142455487"/>
    <n v="3.8125000000000004"/>
    <n v="55.47600749765698"/>
    <x v="1"/>
  </r>
  <r>
    <x v="21"/>
    <x v="17"/>
    <n v="5.4"/>
    <n v="94"/>
    <x v="20"/>
    <n v="87"/>
    <n v="42.7"/>
    <x v="15"/>
    <n v="4.07"/>
    <x v="19"/>
    <n v="129.69999999999999"/>
    <n v="-0.50919540229885052"/>
    <n v="0.6707787201233617"/>
    <n v="0.32922127987663846"/>
    <n v="4.0666666666666673"/>
    <n v="72.415497301464939"/>
    <x v="0"/>
  </r>
  <r>
    <x v="22"/>
    <x v="18"/>
    <n v="6.7"/>
    <n v="81.400000000000006"/>
    <x v="21"/>
    <n v="75"/>
    <n v="42.3"/>
    <x v="16"/>
    <n v="5.22"/>
    <x v="20"/>
    <n v="117.3"/>
    <n v="-0.43600000000000005"/>
    <n v="0.63938618925831203"/>
    <n v="0.36061381074168797"/>
    <n v="5.2222222222222223"/>
    <n v="63.207928388746808"/>
    <x v="0"/>
  </r>
  <r>
    <x v="23"/>
    <x v="19"/>
    <n v="8.3000000000000007"/>
    <n v="69"/>
    <x v="22"/>
    <n v="49"/>
    <n v="42.2"/>
    <x v="17"/>
    <n v="3.67"/>
    <x v="16"/>
    <n v="91.2"/>
    <n v="-0.13877551020408158"/>
    <n v="0.53728070175438591"/>
    <n v="0.46271929824561403"/>
    <n v="3.6695652173913045"/>
    <n v="45.853508771929825"/>
    <x v="2"/>
  </r>
  <r>
    <x v="24"/>
    <x v="20"/>
    <n v="7.5"/>
    <n v="98"/>
    <x v="23"/>
    <n v="95"/>
    <n v="42"/>
    <x v="18"/>
    <n v="5"/>
    <x v="8"/>
    <n v="137"/>
    <n v="-0.55789473684210522"/>
    <n v="0.69343065693430661"/>
    <n v="0.30656934306569344"/>
    <n v="5"/>
    <n v="78.751824817518255"/>
    <x v="0"/>
  </r>
  <r>
    <x v="25"/>
    <x v="0"/>
    <n v="7.3"/>
    <n v="50.5"/>
    <x v="24"/>
    <n v="58"/>
    <n v="42"/>
    <x v="18"/>
    <n v="3.5"/>
    <x v="21"/>
    <n v="100"/>
    <n v="-0.27586206896551724"/>
    <n v="0.57999999999999996"/>
    <n v="0.42"/>
    <n v="3.5"/>
    <n v="51.28"/>
    <x v="1"/>
  </r>
  <r>
    <x v="26"/>
    <x v="7"/>
    <n v="7.3"/>
    <n v="70.8"/>
    <x v="25"/>
    <n v="74"/>
    <n v="41.9"/>
    <x v="19"/>
    <n v="3.95"/>
    <x v="22"/>
    <n v="115.9"/>
    <n v="-0.43378378378378379"/>
    <n v="0.63848144952545294"/>
    <n v="0.36151855047454701"/>
    <n v="3.9528301886792452"/>
    <n v="62.395254529767037"/>
    <x v="1"/>
  </r>
  <r>
    <x v="27"/>
    <x v="21"/>
    <n v="4.9000000000000004"/>
    <n v="71.3"/>
    <x v="26"/>
    <n v="87"/>
    <n v="41.6"/>
    <x v="20"/>
    <n v="4.62"/>
    <x v="23"/>
    <n v="128.6"/>
    <n v="-0.52183908045977012"/>
    <n v="0.67651632970451014"/>
    <n v="0.32348367029548991"/>
    <n v="4.6222222222222227"/>
    <n v="72.313841368584761"/>
    <x v="0"/>
  </r>
  <r>
    <x v="28"/>
    <x v="22"/>
    <n v="7.4"/>
    <n v="91.5"/>
    <x v="16"/>
    <n v="88"/>
    <n v="41.2"/>
    <x v="21"/>
    <n v="5.15"/>
    <x v="24"/>
    <n v="129.19999999999999"/>
    <n v="-0.53181818181818175"/>
    <n v="0.68111455108359142"/>
    <n v="0.31888544891640874"/>
    <n v="5.15"/>
    <n v="73.076160990712083"/>
    <x v="0"/>
  </r>
  <r>
    <x v="29"/>
    <x v="18"/>
    <n v="8.8000000000000007"/>
    <n v="60"/>
    <x v="19"/>
    <n v="90"/>
    <n v="41.1"/>
    <x v="22"/>
    <n v="5.07"/>
    <x v="25"/>
    <n v="131.1"/>
    <n v="-0.54333333333333333"/>
    <n v="0.68649885583524028"/>
    <n v="0.31350114416475977"/>
    <n v="5.0740740740740744"/>
    <n v="74.669794050343256"/>
    <x v="0"/>
  </r>
  <r>
    <x v="30"/>
    <x v="23"/>
    <n v="8.3000000000000007"/>
    <n v="88.3"/>
    <x v="27"/>
    <n v="76"/>
    <n v="41.1"/>
    <x v="22"/>
    <n v="6.52"/>
    <x v="26"/>
    <n v="117.1"/>
    <n v="-0.45921052631578946"/>
    <n v="0.64901793339026481"/>
    <n v="0.3509820666097353"/>
    <n v="6.5238095238095246"/>
    <n v="63.750725875320242"/>
    <x v="0"/>
  </r>
  <r>
    <x v="31"/>
    <x v="9"/>
    <n v="8.9"/>
    <n v="67.5"/>
    <x v="28"/>
    <n v="78"/>
    <n v="40.9"/>
    <x v="23"/>
    <n v="5.93"/>
    <x v="27"/>
    <n v="118.9"/>
    <n v="-0.47564102564102567"/>
    <n v="0.65601345668629096"/>
    <n v="0.34398654331370898"/>
    <n v="5.9275362318840576"/>
    <n v="65.238099243061399"/>
    <x v="0"/>
  </r>
  <r>
    <x v="32"/>
    <x v="12"/>
    <n v="7.4"/>
    <n v="98.3"/>
    <x v="29"/>
    <n v="90"/>
    <n v="40.9"/>
    <x v="23"/>
    <n v="4.26"/>
    <x v="28"/>
    <n v="130.9"/>
    <n v="-0.54555555555555557"/>
    <n v="0.6875477463712758"/>
    <n v="0.3124522536287242"/>
    <n v="4.260416666666667"/>
    <n v="74.658594346829645"/>
    <x v="0"/>
  </r>
  <r>
    <x v="33"/>
    <x v="3"/>
    <n v="4.5"/>
    <n v="60.9"/>
    <x v="30"/>
    <n v="67"/>
    <n v="40.799999999999997"/>
    <x v="24"/>
    <n v="3.58"/>
    <x v="29"/>
    <n v="107.8"/>
    <n v="-0.39104477611940303"/>
    <n v="0.62152133580705016"/>
    <n v="0.3784786641929499"/>
    <n v="3.5789473684210522"/>
    <n v="57.08385899814472"/>
    <x v="1"/>
  </r>
  <r>
    <x v="34"/>
    <x v="17"/>
    <n v="5.9"/>
    <n v="92.5"/>
    <x v="31"/>
    <n v="85"/>
    <n v="40.6"/>
    <x v="25"/>
    <n v="3.87"/>
    <x v="6"/>
    <n v="125.6"/>
    <n v="-0.52235294117647058"/>
    <n v="0.67675159235668791"/>
    <n v="0.32324840764331214"/>
    <n v="3.8666666666666667"/>
    <n v="70.647770700636954"/>
    <x v="0"/>
  </r>
  <r>
    <x v="35"/>
    <x v="24"/>
    <n v="6.1"/>
    <n v="85.1"/>
    <x v="32"/>
    <n v="92"/>
    <n v="40.4"/>
    <x v="26"/>
    <n v="5.69"/>
    <x v="30"/>
    <n v="132.4"/>
    <n v="-0.56086956521739129"/>
    <n v="0.69486404833836857"/>
    <n v="0.30513595166163138"/>
    <n v="5.6901408450704229"/>
    <n v="76.25498489425982"/>
    <x v="0"/>
  </r>
  <r>
    <x v="36"/>
    <x v="25"/>
    <n v="6.4"/>
    <n v="89.8"/>
    <x v="33"/>
    <n v="71"/>
    <n v="40.299999999999997"/>
    <x v="27"/>
    <n v="4.43"/>
    <x v="31"/>
    <n v="111.3"/>
    <n v="-0.43239436619718313"/>
    <n v="0.63791554357592095"/>
    <n v="0.36208445642407905"/>
    <n v="4.4285714285714288"/>
    <n v="59.884007187780767"/>
    <x v="1"/>
  </r>
  <r>
    <x v="37"/>
    <x v="26"/>
    <n v="6.8"/>
    <n v="84.8"/>
    <x v="34"/>
    <n v="75"/>
    <n v="40.299999999999997"/>
    <x v="27"/>
    <n v="6.72"/>
    <x v="32"/>
    <n v="115.3"/>
    <n v="-0.46266666666666673"/>
    <n v="0.65047701647875111"/>
    <n v="0.34952298352124889"/>
    <n v="6.7166666666666659"/>
    <n v="62.871552471812663"/>
    <x v="1"/>
  </r>
  <r>
    <x v="38"/>
    <x v="27"/>
    <n v="4.5"/>
    <n v="79.2"/>
    <x v="35"/>
    <n v="43"/>
    <n v="39.9"/>
    <x v="28"/>
    <n v="3.59"/>
    <x v="33"/>
    <n v="82.9"/>
    <n v="-7.2093023255813987E-2"/>
    <n v="0.51869722557297948"/>
    <n v="0.48130277442702046"/>
    <n v="3.5945945945945947"/>
    <n v="41.507961399276233"/>
    <x v="2"/>
  </r>
  <r>
    <x v="39"/>
    <x v="16"/>
    <n v="4.4000000000000004"/>
    <n v="73.400000000000006"/>
    <x v="36"/>
    <n v="70"/>
    <n v="39.9"/>
    <x v="28"/>
    <n v="3.41"/>
    <x v="34"/>
    <n v="109.9"/>
    <n v="-0.43"/>
    <n v="0.63694267515923564"/>
    <n v="0.36305732484076431"/>
    <n v="3.4102564102564101"/>
    <n v="59.07197452229299"/>
    <x v="1"/>
  </r>
  <r>
    <x v="40"/>
    <x v="4"/>
    <n v="6.3"/>
    <n v="87.4"/>
    <x v="37"/>
    <n v="79"/>
    <n v="39.9"/>
    <x v="28"/>
    <n v="4.24"/>
    <x v="35"/>
    <n v="118.9"/>
    <n v="-0.49493670886075952"/>
    <n v="0.66442388561816645"/>
    <n v="0.33557611438183343"/>
    <n v="4.2446808510638299"/>
    <n v="65.878973927670302"/>
    <x v="0"/>
  </r>
  <r>
    <x v="41"/>
    <x v="17"/>
    <n v="7"/>
    <n v="72.8"/>
    <x v="38"/>
    <n v="59"/>
    <n v="39.799999999999997"/>
    <x v="29"/>
    <n v="3.79"/>
    <x v="35"/>
    <n v="98.8"/>
    <n v="-0.32542372881355935"/>
    <n v="0.59716599190283404"/>
    <n v="0.40283400809716596"/>
    <n v="3.7904761904761903"/>
    <n v="51.265587044534414"/>
    <x v="1"/>
  </r>
  <r>
    <x v="42"/>
    <x v="28"/>
    <n v="7.2"/>
    <n v="67.599999999999994"/>
    <x v="39"/>
    <n v="95"/>
    <n v="39.799999999999997"/>
    <x v="29"/>
    <n v="5.38"/>
    <x v="36"/>
    <n v="134.80000000000001"/>
    <n v="-0.58105263157894738"/>
    <n v="0.70474777448071213"/>
    <n v="0.29525222551928781"/>
    <n v="5.3783783783783781"/>
    <n v="78.702077151335303"/>
    <x v="0"/>
  </r>
  <r>
    <x v="43"/>
    <x v="7"/>
    <n v="8.5"/>
    <n v="60.6"/>
    <x v="40"/>
    <n v="49"/>
    <n v="39.6"/>
    <x v="30"/>
    <n v="3.74"/>
    <x v="37"/>
    <n v="88.6"/>
    <n v="-0.19183673469387752"/>
    <n v="0.55304740406320541"/>
    <n v="0.44695259593679465"/>
    <n v="3.7358490566037736"/>
    <n v="44.798645598194135"/>
    <x v="2"/>
  </r>
  <r>
    <x v="44"/>
    <x v="29"/>
    <n v="8.1999999999999993"/>
    <n v="77"/>
    <x v="41"/>
    <n v="52"/>
    <n v="39.5"/>
    <x v="31"/>
    <n v="3.83"/>
    <x v="37"/>
    <n v="91.5"/>
    <n v="-0.24038461538461539"/>
    <n v="0.56830601092896171"/>
    <n v="0.43169398907103823"/>
    <n v="3.8349514563106792"/>
    <n v="46.603825136612016"/>
    <x v="2"/>
  </r>
  <r>
    <x v="45"/>
    <x v="30"/>
    <n v="6"/>
    <n v="94.1"/>
    <x v="42"/>
    <n v="81"/>
    <n v="39.4"/>
    <x v="32"/>
    <n v="7.3"/>
    <x v="38"/>
    <n v="120.4"/>
    <n v="-0.51358024691358029"/>
    <n v="0.6727574750830565"/>
    <n v="0.3272425249169435"/>
    <n v="7.2962962962962958"/>
    <n v="67.386710963455144"/>
    <x v="0"/>
  </r>
  <r>
    <x v="46"/>
    <x v="31"/>
    <n v="8.4"/>
    <n v="89.1"/>
    <x v="43"/>
    <n v="79"/>
    <n v="39.299999999999997"/>
    <x v="33"/>
    <n v="5.78"/>
    <x v="39"/>
    <n v="118.3"/>
    <n v="-0.50253164556962027"/>
    <n v="0.66779374471682162"/>
    <n v="0.33220625528317832"/>
    <n v="5.7794117647058822"/>
    <n v="65.811411665257808"/>
    <x v="0"/>
  </r>
  <r>
    <x v="47"/>
    <x v="19"/>
    <n v="4.3"/>
    <n v="74.7"/>
    <x v="44"/>
    <n v="77"/>
    <n v="39.200000000000003"/>
    <x v="34"/>
    <n v="3.41"/>
    <x v="40"/>
    <n v="116.2"/>
    <n v="-0.49090909090909085"/>
    <n v="0.66265060240963858"/>
    <n v="0.33734939759036148"/>
    <n v="3.4086956521739133"/>
    <n v="64.248192771084348"/>
    <x v="0"/>
  </r>
  <r>
    <x v="48"/>
    <x v="32"/>
    <n v="8.5"/>
    <n v="73.099999999999994"/>
    <x v="45"/>
    <n v="83"/>
    <n v="39.200000000000003"/>
    <x v="34"/>
    <n v="6.76"/>
    <x v="41"/>
    <n v="122.2"/>
    <n v="-0.52771084337349394"/>
    <n v="0.67921440261865795"/>
    <n v="0.3207855973813421"/>
    <n v="6.7586206896551735"/>
    <n v="68.949590834697219"/>
    <x v="0"/>
  </r>
  <r>
    <x v="49"/>
    <x v="11"/>
    <n v="8.3000000000000007"/>
    <n v="57.6"/>
    <x v="46"/>
    <n v="68"/>
    <n v="39.200000000000003"/>
    <x v="34"/>
    <n v="3.88"/>
    <x v="42"/>
    <n v="107.2"/>
    <n v="-0.42352941176470582"/>
    <n v="0.63432835820895517"/>
    <n v="0.36567164179104478"/>
    <n v="3.8811881188118815"/>
    <n v="57.468656716417911"/>
    <x v="1"/>
  </r>
  <r>
    <x v="50"/>
    <x v="33"/>
    <n v="7.7"/>
    <n v="87.7"/>
    <x v="1"/>
    <n v="89"/>
    <n v="38.6"/>
    <x v="35"/>
    <n v="8.39"/>
    <x v="43"/>
    <n v="127.6"/>
    <n v="-0.56629213483146068"/>
    <n v="0.69749216300940442"/>
    <n v="0.30250783699059564"/>
    <n v="8.3913043478260878"/>
    <n v="73.753605015673983"/>
    <x v="0"/>
  </r>
  <r>
    <x v="51"/>
    <x v="21"/>
    <n v="7.6"/>
    <n v="63.4"/>
    <x v="47"/>
    <n v="67"/>
    <n v="38.4"/>
    <x v="36"/>
    <n v="4.2699999999999996"/>
    <x v="12"/>
    <n v="105.4"/>
    <n v="-0.42686567164179107"/>
    <n v="0.635673624288425"/>
    <n v="0.36432637571157495"/>
    <n v="4.2666666666666666"/>
    <n v="56.580265654648954"/>
    <x v="1"/>
  </r>
  <r>
    <x v="52"/>
    <x v="34"/>
    <n v="5.2"/>
    <n v="92.4"/>
    <x v="48"/>
    <n v="57"/>
    <n v="38.299999999999997"/>
    <x v="37"/>
    <n v="4.91"/>
    <x v="35"/>
    <n v="95.3"/>
    <n v="-0.32807017543859657"/>
    <n v="0.59811122770199376"/>
    <n v="0.40188877229800629"/>
    <n v="4.9102564102564097"/>
    <n v="49.484679958027286"/>
    <x v="1"/>
  </r>
  <r>
    <x v="53"/>
    <x v="21"/>
    <n v="5.0999999999999996"/>
    <n v="76.099999999999994"/>
    <x v="49"/>
    <n v="77"/>
    <n v="38.200000000000003"/>
    <x v="38"/>
    <n v="4.24"/>
    <x v="44"/>
    <n v="115.2"/>
    <n v="-0.50389610389610384"/>
    <n v="0.66840277777777779"/>
    <n v="0.33159722222222227"/>
    <n v="4.2444444444444445"/>
    <n v="64.134027777777789"/>
    <x v="0"/>
  </r>
  <r>
    <x v="54"/>
    <x v="18"/>
    <n v="4.5999999999999996"/>
    <n v="82.1"/>
    <x v="50"/>
    <n v="76"/>
    <n v="38.200000000000003"/>
    <x v="38"/>
    <n v="4.72"/>
    <x v="44"/>
    <n v="114.2"/>
    <n v="-0.49736842105263152"/>
    <n v="0.66549912434325742"/>
    <n v="0.33450087565674258"/>
    <n v="4.7160493827160499"/>
    <n v="63.35586690017513"/>
    <x v="0"/>
  </r>
  <r>
    <x v="55"/>
    <x v="9"/>
    <n v="7"/>
    <n v="58.8"/>
    <x v="51"/>
    <n v="75"/>
    <n v="38.1"/>
    <x v="39"/>
    <n v="5.52"/>
    <x v="45"/>
    <n v="113.1"/>
    <n v="-0.49199999999999999"/>
    <n v="0.66312997347480107"/>
    <n v="0.33687002652519898"/>
    <n v="5.5217391304347823"/>
    <n v="62.569496021220161"/>
    <x v="1"/>
  </r>
  <r>
    <x v="56"/>
    <x v="30"/>
    <n v="6.4"/>
    <n v="92.7"/>
    <x v="52"/>
    <n v="71"/>
    <n v="38"/>
    <x v="40"/>
    <n v="7.04"/>
    <x v="46"/>
    <n v="109"/>
    <n v="-0.46478873239436619"/>
    <n v="0.65137614678899081"/>
    <n v="0.34862385321100919"/>
    <n v="7.0370370370370363"/>
    <n v="59.495412844036693"/>
    <x v="1"/>
  </r>
  <r>
    <x v="57"/>
    <x v="35"/>
    <n v="6"/>
    <n v="54.2"/>
    <x v="53"/>
    <n v="88"/>
    <n v="37.9"/>
    <x v="41"/>
    <n v="3.51"/>
    <x v="6"/>
    <n v="125.9"/>
    <n v="-0.56931818181818183"/>
    <n v="0.69896743447180298"/>
    <n v="0.30103256552819696"/>
    <n v="3.5092592592592591"/>
    <n v="72.918268467037336"/>
    <x v="0"/>
  </r>
  <r>
    <x v="58"/>
    <x v="36"/>
    <n v="5.3"/>
    <n v="99.2"/>
    <x v="54"/>
    <n v="84"/>
    <n v="37.9"/>
    <x v="41"/>
    <n v="5.05"/>
    <x v="2"/>
    <n v="121.9"/>
    <n v="-0.54880952380952386"/>
    <n v="0.68908941755537323"/>
    <n v="0.31091058244462672"/>
    <n v="5.0533333333333328"/>
    <n v="69.66702214930271"/>
    <x v="0"/>
  </r>
  <r>
    <x v="59"/>
    <x v="37"/>
    <n v="6.3"/>
    <n v="97.4"/>
    <x v="55"/>
    <n v="68"/>
    <n v="37.799999999999997"/>
    <x v="42"/>
    <n v="3.71"/>
    <x v="47"/>
    <n v="105.8"/>
    <n v="-0.44411764705882356"/>
    <n v="0.64272211720226846"/>
    <n v="0.35727788279773154"/>
    <n v="3.7058823529411766"/>
    <n v="57.210207939508507"/>
    <x v="1"/>
  </r>
  <r>
    <x v="60"/>
    <x v="38"/>
    <n v="7.2"/>
    <n v="71.8"/>
    <x v="56"/>
    <n v="68"/>
    <n v="37.5"/>
    <x v="43"/>
    <n v="3.87"/>
    <x v="10"/>
    <n v="105.5"/>
    <n v="-0.4485294117647059"/>
    <n v="0.64454976303317535"/>
    <n v="0.35545023696682465"/>
    <n v="3.8659793814432994"/>
    <n v="57.158767772511851"/>
    <x v="1"/>
  </r>
  <r>
    <x v="61"/>
    <x v="29"/>
    <n v="4.8"/>
    <n v="87.5"/>
    <x v="57"/>
    <n v="73"/>
    <n v="37.200000000000003"/>
    <x v="44"/>
    <n v="3.61"/>
    <x v="14"/>
    <n v="110.2"/>
    <n v="-0.49041095890410957"/>
    <n v="0.66243194192377497"/>
    <n v="0.33756805807622509"/>
    <n v="3.6116504854368934"/>
    <n v="60.915063520871144"/>
    <x v="1"/>
  </r>
  <r>
    <x v="62"/>
    <x v="39"/>
    <n v="6.6"/>
    <n v="79.8"/>
    <x v="58"/>
    <n v="86"/>
    <n v="37.200000000000003"/>
    <x v="44"/>
    <n v="10.63"/>
    <x v="48"/>
    <n v="123.2"/>
    <n v="-0.56744186046511624"/>
    <n v="0.69805194805194803"/>
    <n v="0.30194805194805197"/>
    <n v="10.62857142857143"/>
    <n v="71.264935064935059"/>
    <x v="0"/>
  </r>
  <r>
    <x v="63"/>
    <x v="17"/>
    <n v="8.4"/>
    <n v="56.4"/>
    <x v="59"/>
    <n v="47"/>
    <n v="37.1"/>
    <x v="45"/>
    <n v="3.53"/>
    <x v="37"/>
    <n v="84.1"/>
    <n v="-0.2106382978723404"/>
    <n v="0.55885850178359098"/>
    <n v="0.44114149821640908"/>
    <n v="3.5333333333333337"/>
    <n v="42.632699167657556"/>
    <x v="2"/>
  </r>
  <r>
    <x v="64"/>
    <x v="40"/>
    <n v="9"/>
    <n v="81.900000000000006"/>
    <x v="60"/>
    <n v="57"/>
    <n v="37"/>
    <x v="46"/>
    <n v="4.8099999999999996"/>
    <x v="49"/>
    <n v="94"/>
    <n v="-0.35087719298245612"/>
    <n v="0.6063829787234043"/>
    <n v="0.39361702127659576"/>
    <n v="4.8051948051948052"/>
    <n v="49.127659574468083"/>
    <x v="1"/>
  </r>
  <r>
    <x v="65"/>
    <x v="0"/>
    <n v="6.1"/>
    <n v="70.2"/>
    <x v="61"/>
    <n v="56"/>
    <n v="36.9"/>
    <x v="47"/>
    <n v="3.08"/>
    <x v="19"/>
    <n v="92.9"/>
    <n v="-0.34107142857142858"/>
    <n v="0.60279870828848225"/>
    <n v="0.39720129171151775"/>
    <n v="3.0749999999999997"/>
    <n v="48.413455328310015"/>
    <x v="1"/>
  </r>
  <r>
    <x v="66"/>
    <x v="41"/>
    <n v="7.5"/>
    <n v="56.9"/>
    <x v="62"/>
    <n v="58"/>
    <n v="36.700000000000003"/>
    <x v="48"/>
    <n v="3.86"/>
    <x v="7"/>
    <n v="94.7"/>
    <n v="-0.36724137931034478"/>
    <n v="0.61246040126715939"/>
    <n v="0.38753959873284055"/>
    <n v="3.8631578947368426"/>
    <n v="49.745406546990495"/>
    <x v="1"/>
  </r>
  <r>
    <x v="67"/>
    <x v="36"/>
    <n v="7.6"/>
    <n v="73.8"/>
    <x v="63"/>
    <n v="58"/>
    <n v="36.299999999999997"/>
    <x v="49"/>
    <n v="4.84"/>
    <x v="45"/>
    <n v="94.3"/>
    <n v="-0.37413793103448278"/>
    <n v="0.6150583244962885"/>
    <n v="0.38494167550371156"/>
    <n v="4.84"/>
    <n v="49.646765641569459"/>
    <x v="1"/>
  </r>
  <r>
    <x v="68"/>
    <x v="42"/>
    <n v="8.8000000000000007"/>
    <n v="88.5"/>
    <x v="64"/>
    <n v="62"/>
    <n v="36.200000000000003"/>
    <x v="50"/>
    <n v="4.76"/>
    <x v="50"/>
    <n v="98.2"/>
    <n v="-0.41612903225806447"/>
    <n v="0.6313645621181263"/>
    <n v="0.36863543788187375"/>
    <n v="4.7631578947368425"/>
    <n v="52.489205702647666"/>
    <x v="1"/>
  </r>
  <r>
    <x v="69"/>
    <x v="17"/>
    <n v="4.5999999999999996"/>
    <n v="73.2"/>
    <x v="65"/>
    <n v="57"/>
    <n v="36.200000000000003"/>
    <x v="50"/>
    <n v="3.45"/>
    <x v="51"/>
    <n v="93.2"/>
    <n v="-0.36491228070175435"/>
    <n v="0.61158798283261806"/>
    <n v="0.388412017167382"/>
    <n v="3.4476190476190478"/>
    <n v="48.92103004291846"/>
    <x v="1"/>
  </r>
  <r>
    <x v="70"/>
    <x v="43"/>
    <n v="6.9"/>
    <n v="81.5"/>
    <x v="66"/>
    <n v="55"/>
    <n v="36.1"/>
    <x v="51"/>
    <n v="4.1500000000000004"/>
    <x v="7"/>
    <n v="91.1"/>
    <n v="-0.34363636363636363"/>
    <n v="0.60373216245883643"/>
    <n v="0.39626783754116357"/>
    <n v="4.1494252873563227"/>
    <n v="47.510537870472014"/>
    <x v="2"/>
  </r>
  <r>
    <x v="71"/>
    <x v="22"/>
    <n v="8.4"/>
    <n v="64.3"/>
    <x v="67"/>
    <n v="58"/>
    <n v="36.1"/>
    <x v="51"/>
    <n v="4.51"/>
    <x v="52"/>
    <n v="94.1"/>
    <n v="-0.3775862068965517"/>
    <n v="0.61636556854410207"/>
    <n v="0.38363443145589804"/>
    <n v="4.5125000000000002"/>
    <n v="49.598405951115836"/>
    <x v="1"/>
  </r>
  <r>
    <x v="72"/>
    <x v="44"/>
    <n v="4.8"/>
    <n v="66"/>
    <x v="68"/>
    <n v="93"/>
    <n v="36.1"/>
    <x v="51"/>
    <n v="4.25"/>
    <x v="6"/>
    <n v="129.1"/>
    <n v="-0.6118279569892473"/>
    <n v="0.72037180480247875"/>
    <n v="0.2796281951975213"/>
    <n v="4.2470588235294118"/>
    <n v="77.089155693261034"/>
    <x v="0"/>
  </r>
  <r>
    <x v="73"/>
    <x v="10"/>
    <n v="8"/>
    <n v="51"/>
    <x v="69"/>
    <n v="68"/>
    <n v="36.1"/>
    <x v="51"/>
    <n v="3.37"/>
    <x v="13"/>
    <n v="104.1"/>
    <n v="-0.46911764705882353"/>
    <n v="0.65321805955811718"/>
    <n v="0.34678194044188282"/>
    <n v="3.3738317757009351"/>
    <n v="56.93765609990394"/>
    <x v="1"/>
  </r>
  <r>
    <x v="74"/>
    <x v="20"/>
    <n v="5.5"/>
    <n v="92.6"/>
    <x v="70"/>
    <n v="47"/>
    <n v="36.1"/>
    <x v="51"/>
    <n v="4.3"/>
    <x v="53"/>
    <n v="83.1"/>
    <n v="-0.23191489361702125"/>
    <n v="0.56558363417569202"/>
    <n v="0.43441636582430809"/>
    <n v="4.2976190476190474"/>
    <n v="42.264861612515048"/>
    <x v="2"/>
  </r>
  <r>
    <x v="75"/>
    <x v="31"/>
    <n v="4"/>
    <n v="58.3"/>
    <x v="71"/>
    <n v="95"/>
    <n v="36"/>
    <x v="52"/>
    <n v="5.29"/>
    <x v="11"/>
    <n v="131"/>
    <n v="-0.62105263157894741"/>
    <n v="0.72519083969465647"/>
    <n v="0.27480916030534353"/>
    <n v="5.2941176470588234"/>
    <n v="78.78625954198472"/>
    <x v="0"/>
  </r>
  <r>
    <x v="76"/>
    <x v="45"/>
    <n v="7.7"/>
    <n v="84.8"/>
    <x v="34"/>
    <n v="82"/>
    <n v="35.9"/>
    <x v="53"/>
    <n v="13.3"/>
    <x v="54"/>
    <n v="117.9"/>
    <n v="-0.56219512195121957"/>
    <n v="0.69550466497031382"/>
    <n v="0.30449533502968612"/>
    <n v="13.296296296296294"/>
    <n v="67.962765055131456"/>
    <x v="0"/>
  </r>
  <r>
    <x v="77"/>
    <x v="46"/>
    <n v="8.1999999999999993"/>
    <n v="73.7"/>
    <x v="72"/>
    <n v="86"/>
    <n v="35.799999999999997"/>
    <x v="54"/>
    <n v="8.9499999999999993"/>
    <x v="55"/>
    <n v="121.8"/>
    <n v="-0.58372093023255822"/>
    <n v="0.70607553366174058"/>
    <n v="0.29392446633825942"/>
    <n v="8.9499999999999993"/>
    <n v="71.24499178981938"/>
    <x v="0"/>
  </r>
  <r>
    <x v="78"/>
    <x v="40"/>
    <n v="4.8"/>
    <n v="51"/>
    <x v="69"/>
    <n v="88"/>
    <n v="35.799999999999997"/>
    <x v="54"/>
    <n v="4.6500000000000004"/>
    <x v="47"/>
    <n v="123.8"/>
    <n v="-0.59318181818181825"/>
    <n v="0.71082390953150243"/>
    <n v="0.28917609046849757"/>
    <n v="4.6493506493506489"/>
    <n v="72.905008077544423"/>
    <x v="0"/>
  </r>
  <r>
    <x v="79"/>
    <x v="15"/>
    <n v="6.6"/>
    <n v="67.099999999999994"/>
    <x v="73"/>
    <n v="58"/>
    <n v="35.799999999999997"/>
    <x v="54"/>
    <n v="3.25"/>
    <x v="5"/>
    <n v="93.8"/>
    <n v="-0.38275862068965522"/>
    <n v="0.61833688699360345"/>
    <n v="0.38166311300639655"/>
    <n v="3.2545454545454544"/>
    <n v="49.527078891258"/>
    <x v="1"/>
  </r>
  <r>
    <x v="80"/>
    <x v="20"/>
    <n v="5.0999999999999996"/>
    <n v="58.5"/>
    <x v="74"/>
    <n v="75"/>
    <n v="35.700000000000003"/>
    <x v="55"/>
    <n v="4.25"/>
    <x v="21"/>
    <n v="110.7"/>
    <n v="-0.52399999999999991"/>
    <n v="0.6775067750677507"/>
    <n v="0.32249322493224936"/>
    <n v="4.25"/>
    <n v="62.326016260162604"/>
    <x v="1"/>
  </r>
  <r>
    <x v="81"/>
    <x v="44"/>
    <n v="8.1999999999999993"/>
    <n v="69.7"/>
    <x v="75"/>
    <n v="65"/>
    <n v="35.700000000000003"/>
    <x v="55"/>
    <n v="4.2"/>
    <x v="56"/>
    <n v="100.7"/>
    <n v="-0.4507692307692307"/>
    <n v="0.6454816285998014"/>
    <n v="0.35451837140019865"/>
    <n v="4.2"/>
    <n v="54.61261171797419"/>
    <x v="1"/>
  </r>
  <r>
    <x v="82"/>
    <x v="8"/>
    <n v="4.8"/>
    <n v="92.5"/>
    <x v="31"/>
    <n v="54"/>
    <n v="35.6"/>
    <x v="56"/>
    <n v="3.6"/>
    <x v="3"/>
    <n v="89.6"/>
    <n v="-0.34074074074074073"/>
    <n v="0.60267857142857151"/>
    <n v="0.3973214285714286"/>
    <n v="3.595959595959596"/>
    <n v="46.689285714285717"/>
    <x v="2"/>
  </r>
  <r>
    <x v="83"/>
    <x v="21"/>
    <n v="5.4"/>
    <n v="69.8"/>
    <x v="76"/>
    <n v="45"/>
    <n v="35.5"/>
    <x v="57"/>
    <n v="3.94"/>
    <x v="5"/>
    <n v="80.5"/>
    <n v="-0.21111111111111111"/>
    <n v="0.55900621118012417"/>
    <n v="0.44099378881987578"/>
    <n v="3.9444444444444446"/>
    <n v="40.810559006211179"/>
    <x v="2"/>
  </r>
  <r>
    <x v="84"/>
    <x v="47"/>
    <n v="4.4000000000000004"/>
    <n v="88.3"/>
    <x v="27"/>
    <n v="86"/>
    <n v="35.200000000000003"/>
    <x v="58"/>
    <n v="12.14"/>
    <x v="57"/>
    <n v="121.2"/>
    <n v="-0.59069767441860466"/>
    <n v="0.70957095709570961"/>
    <n v="0.29042904290429045"/>
    <n v="12.13793103448276"/>
    <n v="71.246204620462052"/>
    <x v="0"/>
  </r>
  <r>
    <x v="85"/>
    <x v="48"/>
    <n v="7.9"/>
    <n v="87.6"/>
    <x v="18"/>
    <n v="85"/>
    <n v="35.1"/>
    <x v="59"/>
    <n v="5.32"/>
    <x v="58"/>
    <n v="120.1"/>
    <n v="-0.58705882352941174"/>
    <n v="0.70774354704412989"/>
    <n v="0.29225645295587016"/>
    <n v="5.3181818181818183"/>
    <n v="70.41640299750209"/>
    <x v="0"/>
  </r>
  <r>
    <x v="86"/>
    <x v="4"/>
    <n v="8.1"/>
    <n v="80.400000000000006"/>
    <x v="77"/>
    <n v="43"/>
    <n v="35.1"/>
    <x v="59"/>
    <n v="3.73"/>
    <x v="30"/>
    <n v="78.099999999999994"/>
    <n v="-0.18372093023255812"/>
    <n v="0.55057618437900135"/>
    <n v="0.44942381562099876"/>
    <n v="3.7340425531914896"/>
    <n v="39.449551856594113"/>
    <x v="2"/>
  </r>
  <r>
    <x v="87"/>
    <x v="7"/>
    <n v="5"/>
    <n v="51.3"/>
    <x v="78"/>
    <n v="80"/>
    <n v="35.1"/>
    <x v="59"/>
    <n v="3.31"/>
    <x v="14"/>
    <n v="115.1"/>
    <n v="-0.56125000000000003"/>
    <n v="0.69504778453518679"/>
    <n v="0.30495221546481321"/>
    <n v="3.3113207547169812"/>
    <n v="66.30764552562988"/>
    <x v="0"/>
  </r>
  <r>
    <x v="88"/>
    <x v="28"/>
    <n v="7.1"/>
    <n v="90.1"/>
    <x v="79"/>
    <n v="56"/>
    <n v="35"/>
    <x v="60"/>
    <n v="4.7300000000000004"/>
    <x v="56"/>
    <n v="91"/>
    <n v="-0.375"/>
    <n v="0.61538461538461542"/>
    <n v="0.38461538461538464"/>
    <n v="4.7297297297297298"/>
    <n v="47.923076923076927"/>
    <x v="2"/>
  </r>
  <r>
    <x v="89"/>
    <x v="49"/>
    <n v="8"/>
    <n v="91"/>
    <x v="80"/>
    <n v="46"/>
    <n v="35"/>
    <x v="60"/>
    <n v="5.65"/>
    <x v="27"/>
    <n v="81"/>
    <n v="-0.2391304347826087"/>
    <n v="0.5679012345679012"/>
    <n v="0.43209876543209874"/>
    <n v="5.6451612903225801"/>
    <n v="41.246913580246911"/>
    <x v="2"/>
  </r>
  <r>
    <x v="90"/>
    <x v="50"/>
    <n v="5.6"/>
    <n v="71.8"/>
    <x v="56"/>
    <n v="91"/>
    <n v="35"/>
    <x v="60"/>
    <n v="6.14"/>
    <x v="59"/>
    <n v="126"/>
    <n v="-0.61538461538461542"/>
    <n v="0.72222222222222221"/>
    <n v="0.27777777777777779"/>
    <n v="6.140350877192982"/>
    <n v="75.444444444444443"/>
    <x v="0"/>
  </r>
  <r>
    <x v="91"/>
    <x v="51"/>
    <n v="5.0999999999999996"/>
    <n v="66.3"/>
    <x v="81"/>
    <n v="91"/>
    <n v="34.799999999999997"/>
    <x v="61"/>
    <n v="8.92"/>
    <x v="60"/>
    <n v="125.8"/>
    <n v="-0.61758241758241761"/>
    <n v="0.72337042925278217"/>
    <n v="0.27662957074721778"/>
    <n v="8.9230769230769234"/>
    <n v="75.453418124006348"/>
    <x v="0"/>
  </r>
  <r>
    <x v="92"/>
    <x v="52"/>
    <n v="5.9"/>
    <n v="81.599999999999994"/>
    <x v="82"/>
    <n v="84"/>
    <n v="34.700000000000003"/>
    <x v="62"/>
    <n v="6.2"/>
    <x v="52"/>
    <n v="118.7"/>
    <n v="-0.58690476190476182"/>
    <n v="0.7076663858466723"/>
    <n v="0.29233361415332776"/>
    <n v="6.1964285714285721"/>
    <n v="69.58795282224095"/>
    <x v="0"/>
  </r>
  <r>
    <x v="93"/>
    <x v="53"/>
    <n v="5.2"/>
    <n v="88.1"/>
    <x v="83"/>
    <n v="76"/>
    <n v="34.6"/>
    <x v="63"/>
    <n v="5.32"/>
    <x v="37"/>
    <n v="110.6"/>
    <n v="-0.54473684210526319"/>
    <n v="0.68716094032549735"/>
    <n v="0.31283905967450276"/>
    <n v="5.3230769230769237"/>
    <n v="63.04846292947559"/>
    <x v="0"/>
  </r>
  <r>
    <x v="94"/>
    <x v="8"/>
    <n v="4.4000000000000004"/>
    <n v="55.3"/>
    <x v="84"/>
    <n v="67"/>
    <n v="34.5"/>
    <x v="64"/>
    <n v="3.48"/>
    <x v="51"/>
    <n v="101.5"/>
    <n v="-0.48507462686567165"/>
    <n v="0.66009852216748766"/>
    <n v="0.33990147783251229"/>
    <n v="3.4848484848484849"/>
    <n v="55.953201970443345"/>
    <x v="1"/>
  </r>
  <r>
    <x v="95"/>
    <x v="18"/>
    <n v="9"/>
    <n v="62.4"/>
    <x v="85"/>
    <n v="70"/>
    <n v="34.4"/>
    <x v="65"/>
    <n v="4.25"/>
    <x v="38"/>
    <n v="104.4"/>
    <n v="-0.50857142857142856"/>
    <n v="0.67049808429118773"/>
    <n v="0.32950191570881221"/>
    <n v="4.2469135802469138"/>
    <n v="58.26973180076628"/>
    <x v="1"/>
  </r>
  <r>
    <x v="96"/>
    <x v="54"/>
    <n v="4.3"/>
    <n v="90.4"/>
    <x v="86"/>
    <n v="80"/>
    <n v="34.4"/>
    <x v="65"/>
    <n v="11.1"/>
    <x v="61"/>
    <n v="114.4"/>
    <n v="-0.57000000000000006"/>
    <n v="0.69930069930069927"/>
    <n v="0.30069930069930068"/>
    <n v="11.096774193548386"/>
    <n v="66.288111888111885"/>
    <x v="0"/>
  </r>
  <r>
    <x v="97"/>
    <x v="55"/>
    <n v="6.1"/>
    <n v="83.4"/>
    <x v="87"/>
    <n v="54"/>
    <n v="34.200000000000003"/>
    <x v="66"/>
    <n v="3.89"/>
    <x v="22"/>
    <n v="88.2"/>
    <n v="-0.36666666666666664"/>
    <n v="0.61224489795918369"/>
    <n v="0.38775510204081637"/>
    <n v="3.8863636363636362"/>
    <n v="46.32244897959184"/>
    <x v="2"/>
  </r>
  <r>
    <x v="98"/>
    <x v="56"/>
    <n v="7"/>
    <n v="88.3"/>
    <x v="27"/>
    <n v="84"/>
    <n v="34.200000000000003"/>
    <x v="66"/>
    <n v="9.24"/>
    <x v="48"/>
    <n v="118.2"/>
    <n v="-0.59285714285714286"/>
    <n v="0.71065989847715738"/>
    <n v="0.28934010152284267"/>
    <n v="9.2432432432432439"/>
    <n v="69.590862944162438"/>
    <x v="0"/>
  </r>
  <r>
    <x v="99"/>
    <x v="14"/>
    <n v="9"/>
    <n v="51.2"/>
    <x v="88"/>
    <n v="41"/>
    <n v="34.1"/>
    <x v="67"/>
    <n v="4.87"/>
    <x v="27"/>
    <n v="75.099999999999994"/>
    <n v="-0.16829268292682922"/>
    <n v="0.54593874833555267"/>
    <n v="0.45406125166444744"/>
    <n v="4.8714285714285719"/>
    <n v="37.866977363515318"/>
    <x v="2"/>
  </r>
  <r>
    <x v="100"/>
    <x v="39"/>
    <n v="4.8"/>
    <n v="95.1"/>
    <x v="89"/>
    <n v="66"/>
    <n v="34"/>
    <x v="68"/>
    <n v="9.7100000000000009"/>
    <x v="62"/>
    <n v="100"/>
    <n v="-0.48484848484848486"/>
    <n v="0.66"/>
    <n v="0.34"/>
    <n v="9.7142857142857135"/>
    <n v="55.120000000000005"/>
    <x v="1"/>
  </r>
  <r>
    <x v="101"/>
    <x v="57"/>
    <n v="7.9"/>
    <n v="61"/>
    <x v="90"/>
    <n v="70"/>
    <n v="34"/>
    <x v="68"/>
    <n v="4.3"/>
    <x v="63"/>
    <n v="104"/>
    <n v="-0.51428571428571423"/>
    <n v="0.67307692307692313"/>
    <n v="0.32692307692307693"/>
    <n v="4.3037974683544302"/>
    <n v="58.230769230769234"/>
    <x v="1"/>
  </r>
  <r>
    <x v="102"/>
    <x v="58"/>
    <n v="4"/>
    <n v="67"/>
    <x v="91"/>
    <n v="78"/>
    <n v="33.799999999999997"/>
    <x v="69"/>
    <n v="5.73"/>
    <x v="0"/>
    <n v="111.8"/>
    <n v="-0.56666666666666665"/>
    <n v="0.69767441860465118"/>
    <n v="0.30232558139534882"/>
    <n v="5.7288135593220328"/>
    <n v="64.637209302325587"/>
    <x v="0"/>
  </r>
  <r>
    <x v="103"/>
    <x v="59"/>
    <n v="8.8000000000000007"/>
    <n v="56.1"/>
    <x v="92"/>
    <n v="68"/>
    <n v="33.6"/>
    <x v="70"/>
    <n v="7.15"/>
    <x v="64"/>
    <n v="101.6"/>
    <n v="-0.50588235294117645"/>
    <n v="0.6692913385826772"/>
    <n v="0.33070866141732286"/>
    <n v="7.1489361702127656"/>
    <n v="56.623622047244098"/>
    <x v="1"/>
  </r>
  <r>
    <x v="104"/>
    <x v="60"/>
    <n v="7.3"/>
    <n v="85.3"/>
    <x v="93"/>
    <n v="51"/>
    <n v="33.5"/>
    <x v="71"/>
    <n v="7.44"/>
    <x v="65"/>
    <n v="84.5"/>
    <n v="-0.34313725490196079"/>
    <n v="0.60355029585798814"/>
    <n v="0.39644970414201186"/>
    <n v="7.4444444444444446"/>
    <n v="44.062130177514788"/>
    <x v="2"/>
  </r>
  <r>
    <x v="105"/>
    <x v="61"/>
    <n v="4.7"/>
    <n v="71"/>
    <x v="0"/>
    <n v="57"/>
    <n v="33.5"/>
    <x v="71"/>
    <n v="4.09"/>
    <x v="44"/>
    <n v="90.5"/>
    <n v="-0.41228070175438597"/>
    <n v="0.62983425414364635"/>
    <n v="0.37016574585635359"/>
    <n v="4.0853658536585371"/>
    <n v="48.301104972375683"/>
    <x v="1"/>
  </r>
  <r>
    <x v="106"/>
    <x v="62"/>
    <n v="4.5999999999999996"/>
    <n v="88.6"/>
    <x v="94"/>
    <n v="50"/>
    <n v="33.4"/>
    <x v="72"/>
    <n v="4.99"/>
    <x v="22"/>
    <n v="83.4"/>
    <n v="-0.33200000000000002"/>
    <n v="0.5995203836930455"/>
    <n v="0.40047961630695439"/>
    <n v="4.9850746268656714"/>
    <n v="43.352038369304552"/>
    <x v="2"/>
  </r>
  <r>
    <x v="107"/>
    <x v="56"/>
    <n v="6.1"/>
    <n v="80.5"/>
    <x v="95"/>
    <n v="92"/>
    <n v="33.4"/>
    <x v="72"/>
    <n v="9.0299999999999994"/>
    <x v="66"/>
    <n v="125.4"/>
    <n v="-0.63695652173913042"/>
    <n v="0.733652312599681"/>
    <n v="0.26634768740031894"/>
    <n v="9.0270270270270263"/>
    <n v="76.392025518341313"/>
    <x v="0"/>
  </r>
  <r>
    <x v="108"/>
    <x v="63"/>
    <n v="5.3"/>
    <n v="81.3"/>
    <x v="96"/>
    <n v="88"/>
    <n v="33"/>
    <x v="73"/>
    <n v="11.79"/>
    <x v="48"/>
    <n v="121"/>
    <n v="-0.625"/>
    <n v="0.72727272727272729"/>
    <n v="0.27272727272727271"/>
    <n v="11.785714285714286"/>
    <n v="73"/>
    <x v="0"/>
  </r>
  <r>
    <x v="109"/>
    <x v="64"/>
    <n v="8.3000000000000007"/>
    <n v="83.9"/>
    <x v="97"/>
    <n v="56"/>
    <n v="33"/>
    <x v="73"/>
    <n v="10"/>
    <x v="67"/>
    <n v="89"/>
    <n v="-0.4107142857142857"/>
    <n v="0.6292134831460674"/>
    <n v="0.3707865168539326"/>
    <n v="10"/>
    <n v="47.471910112359552"/>
    <x v="2"/>
  </r>
  <r>
    <x v="110"/>
    <x v="65"/>
    <n v="8.1"/>
    <n v="56.3"/>
    <x v="98"/>
    <n v="59"/>
    <n v="32.9"/>
    <x v="74"/>
    <n v="7.48"/>
    <x v="68"/>
    <n v="91.9"/>
    <n v="-0.44237288135593222"/>
    <n v="0.6420021762785636"/>
    <n v="0.35799782372143629"/>
    <n v="7.4772727272727266"/>
    <n v="49.656256800870509"/>
    <x v="1"/>
  </r>
  <r>
    <x v="111"/>
    <x v="9"/>
    <n v="6.9"/>
    <n v="78.2"/>
    <x v="10"/>
    <n v="71"/>
    <n v="32.6"/>
    <x v="75"/>
    <n v="4.72"/>
    <x v="63"/>
    <n v="103.6"/>
    <n v="-0.54084507042253516"/>
    <n v="0.6853281853281854"/>
    <n v="0.31467181467181471"/>
    <n v="4.72463768115942"/>
    <n v="58.916602316602322"/>
    <x v="1"/>
  </r>
  <r>
    <x v="112"/>
    <x v="51"/>
    <n v="5"/>
    <n v="50.3"/>
    <x v="99"/>
    <n v="80"/>
    <n v="32.4"/>
    <x v="76"/>
    <n v="8.31"/>
    <x v="9"/>
    <n v="112.4"/>
    <n v="-0.59499999999999997"/>
    <n v="0.71174377224199281"/>
    <n v="0.28825622775800708"/>
    <n v="8.3076923076923084"/>
    <n v="66.279003558718856"/>
    <x v="0"/>
  </r>
  <r>
    <x v="113"/>
    <x v="66"/>
    <n v="8.9"/>
    <n v="84.7"/>
    <x v="100"/>
    <n v="63"/>
    <n v="32.200000000000003"/>
    <x v="77"/>
    <n v="23"/>
    <x v="69"/>
    <n v="95.2"/>
    <n v="-0.48888888888888882"/>
    <n v="0.66176470588235292"/>
    <n v="0.33823529411764708"/>
    <n v="23.000000000000004"/>
    <n v="52.582352941176467"/>
    <x v="1"/>
  </r>
  <r>
    <x v="114"/>
    <x v="52"/>
    <n v="8.5"/>
    <n v="92.5"/>
    <x v="31"/>
    <n v="43"/>
    <n v="32.200000000000003"/>
    <x v="77"/>
    <n v="5.75"/>
    <x v="57"/>
    <n v="75.2"/>
    <n v="-0.25116279069767433"/>
    <n v="0.57180851063829785"/>
    <n v="0.42819148936170215"/>
    <n v="5.7500000000000009"/>
    <n v="38.375531914893621"/>
    <x v="2"/>
  </r>
  <r>
    <x v="115"/>
    <x v="67"/>
    <n v="6.1"/>
    <n v="77.3"/>
    <x v="101"/>
    <n v="76"/>
    <n v="32.1"/>
    <x v="78"/>
    <n v="16.05"/>
    <x v="70"/>
    <n v="108.1"/>
    <n v="-0.57763157894736838"/>
    <n v="0.70305272895467164"/>
    <n v="0.29694727104532842"/>
    <n v="16.05"/>
    <n v="62.964014801110089"/>
    <x v="1"/>
  </r>
  <r>
    <x v="116"/>
    <x v="68"/>
    <n v="4"/>
    <n v="81.8"/>
    <x v="102"/>
    <n v="69"/>
    <n v="32.1"/>
    <x v="78"/>
    <n v="9.44"/>
    <x v="71"/>
    <n v="101.1"/>
    <n v="-0.5347826086956522"/>
    <n v="0.68249258160237392"/>
    <n v="0.31750741839762614"/>
    <n v="9.4411764705882355"/>
    <n v="57.283976261127599"/>
    <x v="1"/>
  </r>
  <r>
    <x v="117"/>
    <x v="69"/>
    <n v="5.2"/>
    <n v="75.900000000000006"/>
    <x v="103"/>
    <n v="62"/>
    <n v="32"/>
    <x v="79"/>
    <n v="6.15"/>
    <x v="63"/>
    <n v="94"/>
    <n v="-0.4838709677419355"/>
    <n v="0.65957446808510634"/>
    <n v="0.34042553191489361"/>
    <n v="6.1538461538461533"/>
    <n v="51.787234042553187"/>
    <x v="1"/>
  </r>
  <r>
    <x v="118"/>
    <x v="24"/>
    <n v="4.5999999999999996"/>
    <n v="52.5"/>
    <x v="104"/>
    <n v="84"/>
    <n v="32"/>
    <x v="79"/>
    <n v="4.51"/>
    <x v="53"/>
    <n v="116"/>
    <n v="-0.61904761904761907"/>
    <n v="0.72413793103448276"/>
    <n v="0.27586206896551724"/>
    <n v="4.507042253521127"/>
    <n v="69.65517241379311"/>
    <x v="0"/>
  </r>
  <r>
    <x v="119"/>
    <x v="70"/>
    <n v="7.6"/>
    <n v="80.599999999999994"/>
    <x v="105"/>
    <n v="47"/>
    <n v="31.8"/>
    <x v="80"/>
    <n v="8.83"/>
    <x v="72"/>
    <n v="78.8"/>
    <n v="-0.3234042553191489"/>
    <n v="0.59644670050761428"/>
    <n v="0.40355329949238583"/>
    <n v="8.8333333333333339"/>
    <n v="40.865989847715738"/>
    <x v="2"/>
  </r>
  <r>
    <x v="120"/>
    <x v="71"/>
    <n v="5.2"/>
    <n v="86"/>
    <x v="106"/>
    <n v="87"/>
    <n v="31.6"/>
    <x v="81"/>
    <n v="15.05"/>
    <x v="73"/>
    <n v="118.6"/>
    <n v="-0.63678160919540228"/>
    <n v="0.73355817875210794"/>
    <n v="0.26644182124789212"/>
    <n v="15.047619047619047"/>
    <n v="72.239123102866785"/>
    <x v="0"/>
  </r>
  <r>
    <x v="121"/>
    <x v="72"/>
    <n v="8.5"/>
    <n v="81.099999999999994"/>
    <x v="107"/>
    <n v="92"/>
    <n v="31.4"/>
    <x v="82"/>
    <n v="28.55"/>
    <x v="74"/>
    <n v="123.4"/>
    <n v="-0.65869565217391302"/>
    <n v="0.74554294975688817"/>
    <n v="0.25445705024311183"/>
    <n v="28.545454545454543"/>
    <n v="76.579902755267426"/>
    <x v="0"/>
  </r>
  <r>
    <x v="122"/>
    <x v="57"/>
    <n v="5.6"/>
    <n v="68.5"/>
    <x v="108"/>
    <n v="42"/>
    <n v="31.4"/>
    <x v="82"/>
    <n v="3.97"/>
    <x v="2"/>
    <n v="73.400000000000006"/>
    <n v="-0.25238095238095243"/>
    <n v="0.57220708446866475"/>
    <n v="0.42779291553133508"/>
    <n v="3.9746835443037969"/>
    <n v="37.465395095367839"/>
    <x v="2"/>
  </r>
  <r>
    <x v="123"/>
    <x v="73"/>
    <n v="8.1999999999999993"/>
    <n v="86.6"/>
    <x v="109"/>
    <n v="52"/>
    <n v="31.4"/>
    <x v="82"/>
    <n v="5.15"/>
    <x v="75"/>
    <n v="83.4"/>
    <n v="-0.39615384615384619"/>
    <n v="0.6235011990407674"/>
    <n v="0.37649880095923255"/>
    <n v="5.1475409836065573"/>
    <n v="44.244124700239801"/>
    <x v="2"/>
  </r>
  <r>
    <x v="124"/>
    <x v="74"/>
    <n v="6.7"/>
    <n v="51.3"/>
    <x v="78"/>
    <n v="44"/>
    <n v="31.3"/>
    <x v="83"/>
    <n v="3.52"/>
    <x v="13"/>
    <n v="75.3"/>
    <n v="-0.28863636363636364"/>
    <n v="0.58432934926958835"/>
    <n v="0.41567065073041171"/>
    <n v="3.5168539325842696"/>
    <n v="38.720982735723773"/>
    <x v="2"/>
  </r>
  <r>
    <x v="125"/>
    <x v="22"/>
    <n v="7.1"/>
    <n v="54.1"/>
    <x v="110"/>
    <n v="75"/>
    <n v="31.3"/>
    <x v="83"/>
    <n v="3.91"/>
    <x v="8"/>
    <n v="106.3"/>
    <n v="-0.58266666666666667"/>
    <n v="0.70555032925682037"/>
    <n v="0.29444967074317968"/>
    <n v="3.9125000000000001"/>
    <n v="62.13254938852306"/>
    <x v="1"/>
  </r>
  <r>
    <x v="126"/>
    <x v="75"/>
    <n v="6.3"/>
    <n v="83.6"/>
    <x v="111"/>
    <n v="71"/>
    <n v="31.2"/>
    <x v="84"/>
    <n v="24"/>
    <x v="76"/>
    <n v="102.2"/>
    <n v="-0.56056338028169006"/>
    <n v="0.69471624266144816"/>
    <n v="0.30528375733855184"/>
    <n v="24"/>
    <n v="58.849706457925635"/>
    <x v="1"/>
  </r>
  <r>
    <x v="127"/>
    <x v="76"/>
    <n v="6"/>
    <n v="75.2"/>
    <x v="112"/>
    <n v="74"/>
    <n v="31.1"/>
    <x v="85"/>
    <n v="7.59"/>
    <x v="77"/>
    <n v="105.1"/>
    <n v="-0.57972972972972969"/>
    <n v="0.70409134157944819"/>
    <n v="0.29590865842055186"/>
    <n v="7.585365853658538"/>
    <n v="61.305518553758333"/>
    <x v="1"/>
  </r>
  <r>
    <x v="128"/>
    <x v="77"/>
    <n v="7.6"/>
    <n v="71.8"/>
    <x v="56"/>
    <n v="54"/>
    <n v="31"/>
    <x v="86"/>
    <n v="4.25"/>
    <x v="78"/>
    <n v="85"/>
    <n v="-0.42592592592592593"/>
    <n v="0.63529411764705879"/>
    <n v="0.36470588235294116"/>
    <n v="4.2465753424657535"/>
    <n v="45.611764705882351"/>
    <x v="2"/>
  </r>
  <r>
    <x v="129"/>
    <x v="49"/>
    <n v="7.7"/>
    <n v="86.7"/>
    <x v="113"/>
    <n v="56"/>
    <n v="31"/>
    <x v="86"/>
    <n v="5"/>
    <x v="39"/>
    <n v="87"/>
    <n v="-0.44642857142857145"/>
    <n v="0.64367816091954022"/>
    <n v="0.35632183908045978"/>
    <n v="5"/>
    <n v="47.091954022988503"/>
    <x v="2"/>
  </r>
  <r>
    <x v="130"/>
    <x v="50"/>
    <n v="5.7"/>
    <n v="74.2"/>
    <x v="114"/>
    <n v="82"/>
    <n v="31"/>
    <x v="86"/>
    <n v="5.44"/>
    <x v="63"/>
    <n v="113"/>
    <n v="-0.62195121951219512"/>
    <n v="0.72566371681415931"/>
    <n v="0.27433628318584069"/>
    <n v="5.4385964912280702"/>
    <n v="68.008849557522126"/>
    <x v="0"/>
  </r>
  <r>
    <x v="131"/>
    <x v="78"/>
    <n v="7.6"/>
    <n v="69"/>
    <x v="22"/>
    <n v="48"/>
    <n v="30.8"/>
    <x v="87"/>
    <n v="4.28"/>
    <x v="79"/>
    <n v="78.8"/>
    <n v="-0.35833333333333334"/>
    <n v="0.6091370558375635"/>
    <n v="0.39086294416243655"/>
    <n v="4.2777777777777777"/>
    <n v="41.277157360406093"/>
    <x v="2"/>
  </r>
  <r>
    <x v="132"/>
    <x v="64"/>
    <n v="7.8"/>
    <n v="87.2"/>
    <x v="115"/>
    <n v="52"/>
    <n v="30.7"/>
    <x v="88"/>
    <n v="9.3000000000000007"/>
    <x v="80"/>
    <n v="82.7"/>
    <n v="-0.4096153846153846"/>
    <n v="0.62877871825876663"/>
    <n v="0.37122128174123337"/>
    <n v="9.3030303030303028"/>
    <n v="44.09298669891173"/>
    <x v="2"/>
  </r>
  <r>
    <x v="133"/>
    <x v="71"/>
    <n v="7.3"/>
    <n v="76.900000000000006"/>
    <x v="116"/>
    <n v="77"/>
    <n v="30.7"/>
    <x v="88"/>
    <n v="14.62"/>
    <x v="81"/>
    <n v="107.7"/>
    <n v="-0.60129870129870122"/>
    <n v="0.71494893221912714"/>
    <n v="0.2850510677808728"/>
    <n v="14.619047619047619"/>
    <n v="63.802135561745587"/>
    <x v="0"/>
  </r>
  <r>
    <x v="134"/>
    <x v="76"/>
    <n v="7.1"/>
    <n v="59.1"/>
    <x v="117"/>
    <n v="50"/>
    <n v="30.7"/>
    <x v="88"/>
    <n v="7.49"/>
    <x v="82"/>
    <n v="80.7"/>
    <n v="-0.38600000000000001"/>
    <n v="0.61957868649318459"/>
    <n v="0.38042131350681535"/>
    <n v="7.4878048780487809"/>
    <n v="42.657868649318459"/>
    <x v="2"/>
  </r>
  <r>
    <x v="135"/>
    <x v="79"/>
    <n v="5.5"/>
    <n v="77.400000000000006"/>
    <x v="118"/>
    <n v="84"/>
    <n v="30.6"/>
    <x v="89"/>
    <n v="6.12"/>
    <x v="83"/>
    <n v="114.6"/>
    <n v="-0.63571428571428568"/>
    <n v="0.73298429319371727"/>
    <n v="0.26701570680628273"/>
    <n v="6.12"/>
    <n v="69.741361256544508"/>
    <x v="0"/>
  </r>
  <r>
    <x v="136"/>
    <x v="80"/>
    <n v="8.4"/>
    <n v="85"/>
    <x v="119"/>
    <n v="59"/>
    <n v="30.6"/>
    <x v="89"/>
    <n v="16.11"/>
    <x v="84"/>
    <n v="89.6"/>
    <n v="-0.48135593220338979"/>
    <n v="0.6584821428571429"/>
    <n v="0.34151785714285721"/>
    <n v="16.10526315789474"/>
    <n v="49.300892857142863"/>
    <x v="1"/>
  </r>
  <r>
    <x v="137"/>
    <x v="81"/>
    <n v="8.6999999999999993"/>
    <n v="97.5"/>
    <x v="120"/>
    <n v="52"/>
    <n v="30.3"/>
    <x v="90"/>
    <n v="7.21"/>
    <x v="85"/>
    <n v="82.3"/>
    <n v="-0.41730769230769227"/>
    <n v="0.63183475091130015"/>
    <n v="0.36816524908869991"/>
    <n v="7.2142857142857144"/>
    <n v="44.010814094775213"/>
    <x v="2"/>
  </r>
  <r>
    <x v="138"/>
    <x v="70"/>
    <n v="5.3"/>
    <n v="55.3"/>
    <x v="84"/>
    <n v="84"/>
    <n v="30.3"/>
    <x v="90"/>
    <n v="8.42"/>
    <x v="41"/>
    <n v="114.3"/>
    <n v="-0.63928571428571435"/>
    <n v="0.73490813648293962"/>
    <n v="0.26509186351706038"/>
    <n v="8.4166666666666661"/>
    <n v="69.764566929133849"/>
    <x v="0"/>
  </r>
  <r>
    <x v="139"/>
    <x v="22"/>
    <n v="8.8000000000000007"/>
    <n v="72.099999999999994"/>
    <x v="121"/>
    <n v="45"/>
    <n v="30.2"/>
    <x v="91"/>
    <n v="3.78"/>
    <x v="83"/>
    <n v="75.2"/>
    <n v="-0.3288888888888889"/>
    <n v="0.59840425531914887"/>
    <n v="0.40159574468085102"/>
    <n v="3.7749999999999999"/>
    <n v="39.056382978723398"/>
    <x v="2"/>
  </r>
  <r>
    <x v="140"/>
    <x v="82"/>
    <n v="6.1"/>
    <n v="61.2"/>
    <x v="122"/>
    <n v="68"/>
    <n v="30.2"/>
    <x v="91"/>
    <n v="9.44"/>
    <x v="86"/>
    <n v="98.2"/>
    <n v="-0.55588235294117638"/>
    <n v="0.6924643584521385"/>
    <n v="0.3075356415478615"/>
    <n v="9.4375"/>
    <n v="56.375152749490837"/>
    <x v="1"/>
  </r>
  <r>
    <x v="141"/>
    <x v="83"/>
    <n v="6.9"/>
    <n v="91.1"/>
    <x v="123"/>
    <n v="58"/>
    <n v="30.1"/>
    <x v="92"/>
    <n v="16.72"/>
    <x v="87"/>
    <n v="88.1"/>
    <n v="-0.48103448275862065"/>
    <n v="0.65834279228149839"/>
    <n v="0.34165720771850172"/>
    <n v="16.722222222222221"/>
    <n v="48.467763904653808"/>
    <x v="1"/>
  </r>
  <r>
    <x v="142"/>
    <x v="59"/>
    <n v="6.9"/>
    <n v="62.2"/>
    <x v="124"/>
    <n v="63"/>
    <n v="30"/>
    <x v="93"/>
    <n v="6.38"/>
    <x v="41"/>
    <n v="93"/>
    <n v="-0.52380952380952384"/>
    <n v="0.67741935483870963"/>
    <n v="0.32258064516129031"/>
    <n v="6.3829787234042552"/>
    <n v="52.354838709677416"/>
    <x v="1"/>
  </r>
  <r>
    <x v="143"/>
    <x v="39"/>
    <n v="7"/>
    <n v="75.3"/>
    <x v="125"/>
    <n v="54"/>
    <n v="30"/>
    <x v="93"/>
    <n v="8.57"/>
    <x v="88"/>
    <n v="84"/>
    <n v="-0.44444444444444442"/>
    <n v="0.6428571428571429"/>
    <n v="0.35714285714285715"/>
    <n v="8.5714285714285712"/>
    <n v="45.428571428571431"/>
    <x v="2"/>
  </r>
  <r>
    <x v="144"/>
    <x v="84"/>
    <n v="5.5"/>
    <n v="55.7"/>
    <x v="126"/>
    <n v="87"/>
    <n v="29.9"/>
    <x v="94"/>
    <n v="12.46"/>
    <x v="89"/>
    <n v="116.9"/>
    <n v="-0.65632183908045982"/>
    <n v="0.74422583404619325"/>
    <n v="0.25577416595380664"/>
    <n v="12.458333333333334"/>
    <n v="72.395295124037631"/>
    <x v="0"/>
  </r>
  <r>
    <x v="145"/>
    <x v="50"/>
    <n v="5.6"/>
    <n v="65.599999999999994"/>
    <x v="127"/>
    <n v="53"/>
    <n v="29.9"/>
    <x v="94"/>
    <n v="5.25"/>
    <x v="59"/>
    <n v="82.9"/>
    <n v="-0.4358490566037736"/>
    <n v="0.63932448733413749"/>
    <n v="0.36067551266586245"/>
    <n v="5.2456140350877192"/>
    <n v="44.668395657418579"/>
    <x v="2"/>
  </r>
  <r>
    <x v="146"/>
    <x v="45"/>
    <n v="8.6"/>
    <n v="77"/>
    <x v="41"/>
    <n v="66"/>
    <n v="29.8"/>
    <x v="95"/>
    <n v="11.04"/>
    <x v="90"/>
    <n v="95.8"/>
    <n v="-0.54848484848484858"/>
    <n v="0.6889352818371608"/>
    <n v="0.31106471816283926"/>
    <n v="11.037037037037036"/>
    <n v="54.739457202505221"/>
    <x v="1"/>
  </r>
  <r>
    <x v="147"/>
    <x v="85"/>
    <n v="8.9"/>
    <n v="92.5"/>
    <x v="31"/>
    <n v="40"/>
    <n v="29.7"/>
    <x v="96"/>
    <n v="12.91"/>
    <x v="91"/>
    <n v="69.7"/>
    <n v="-0.25750000000000001"/>
    <n v="0.57388809182209466"/>
    <n v="0.42611190817790529"/>
    <n v="12.913043478260871"/>
    <n v="35.611047345767574"/>
    <x v="2"/>
  </r>
  <r>
    <x v="148"/>
    <x v="59"/>
    <n v="6.7"/>
    <n v="59.7"/>
    <x v="128"/>
    <n v="59"/>
    <n v="29.6"/>
    <x v="97"/>
    <n v="6.3"/>
    <x v="92"/>
    <n v="88.6"/>
    <n v="-0.49830508474576268"/>
    <n v="0.66591422121896171"/>
    <n v="0.3340857787810384"/>
    <n v="6.2978723404255321"/>
    <n v="49.177878103837472"/>
    <x v="1"/>
  </r>
  <r>
    <x v="149"/>
    <x v="60"/>
    <n v="8.6999999999999993"/>
    <n v="60.3"/>
    <x v="129"/>
    <n v="48"/>
    <n v="29.5"/>
    <x v="98"/>
    <n v="6.56"/>
    <x v="93"/>
    <n v="77.5"/>
    <n v="-0.38541666666666669"/>
    <n v="0.61935483870967745"/>
    <n v="0.38064516129032255"/>
    <n v="6.5555555555555554"/>
    <n v="40.958064516129035"/>
    <x v="2"/>
  </r>
  <r>
    <x v="150"/>
    <x v="39"/>
    <n v="4.5"/>
    <n v="89.1"/>
    <x v="43"/>
    <n v="78"/>
    <n v="29.5"/>
    <x v="98"/>
    <n v="8.43"/>
    <x v="27"/>
    <n v="107.5"/>
    <n v="-0.62179487179487181"/>
    <n v="0.72558139534883725"/>
    <n v="0.2744186046511628"/>
    <n v="8.4285714285714288"/>
    <n v="64.690697674418615"/>
    <x v="0"/>
  </r>
  <r>
    <x v="151"/>
    <x v="68"/>
    <n v="5.3"/>
    <n v="90.9"/>
    <x v="130"/>
    <n v="81"/>
    <n v="29.3"/>
    <x v="99"/>
    <n v="8.6199999999999992"/>
    <x v="94"/>
    <n v="110.3"/>
    <n v="-0.63827160493827162"/>
    <n v="0.73436083408884867"/>
    <n v="0.26563916591115144"/>
    <n v="8.617647058823529"/>
    <n v="67.266455122393481"/>
    <x v="0"/>
  </r>
  <r>
    <x v="152"/>
    <x v="69"/>
    <n v="8.6999999999999993"/>
    <n v="63.7"/>
    <x v="131"/>
    <n v="73"/>
    <n v="29.2"/>
    <x v="100"/>
    <n v="5.62"/>
    <x v="43"/>
    <n v="102.2"/>
    <n v="-0.6"/>
    <n v="0.7142857142857143"/>
    <n v="0.2857142857142857"/>
    <n v="5.615384615384615"/>
    <n v="60.485714285714288"/>
    <x v="1"/>
  </r>
  <r>
    <x v="153"/>
    <x v="52"/>
    <n v="5.3"/>
    <n v="51.5"/>
    <x v="132"/>
    <n v="61"/>
    <n v="29.1"/>
    <x v="101"/>
    <n v="5.2"/>
    <x v="95"/>
    <n v="90.1"/>
    <n v="-0.52295081967213108"/>
    <n v="0.67702552719200892"/>
    <n v="0.32297447280799113"/>
    <n v="5.1964285714285721"/>
    <n v="50.69711431742509"/>
    <x v="1"/>
  </r>
  <r>
    <x v="154"/>
    <x v="67"/>
    <n v="6.5"/>
    <n v="82.8"/>
    <x v="133"/>
    <n v="70"/>
    <n v="29"/>
    <x v="102"/>
    <n v="14.5"/>
    <x v="96"/>
    <n v="99"/>
    <n v="-0.58571428571428574"/>
    <n v="0.70707070707070707"/>
    <n v="0.29292929292929293"/>
    <n v="14.5"/>
    <n v="57.98989898989899"/>
    <x v="1"/>
  </r>
  <r>
    <x v="155"/>
    <x v="83"/>
    <n v="5.0999999999999996"/>
    <n v="58.4"/>
    <x v="134"/>
    <n v="79"/>
    <n v="29"/>
    <x v="102"/>
    <n v="16.11"/>
    <x v="97"/>
    <n v="108"/>
    <n v="-0.63291139240506333"/>
    <n v="0.73148148148148151"/>
    <n v="0.26851851851851855"/>
    <n v="16.111111111111111"/>
    <n v="65.574074074074076"/>
    <x v="0"/>
  </r>
  <r>
    <x v="156"/>
    <x v="68"/>
    <n v="6.8"/>
    <n v="62.2"/>
    <x v="124"/>
    <n v="45"/>
    <n v="28.9"/>
    <x v="103"/>
    <n v="8.5"/>
    <x v="88"/>
    <n v="73.900000000000006"/>
    <n v="-0.35777777777777781"/>
    <n v="0.60893098782138022"/>
    <n v="0.39106901217861972"/>
    <n v="8.5"/>
    <n v="38.70378890392422"/>
    <x v="2"/>
  </r>
  <r>
    <x v="157"/>
    <x v="86"/>
    <n v="5.6"/>
    <n v="94.9"/>
    <x v="135"/>
    <n v="51"/>
    <n v="28.8"/>
    <x v="104"/>
    <n v="5.65"/>
    <x v="83"/>
    <n v="79.8"/>
    <n v="-0.43529411764705883"/>
    <n v="0.63909774436090228"/>
    <n v="0.36090225563909778"/>
    <n v="5.6470588235294121"/>
    <n v="42.987969924812035"/>
    <x v="2"/>
  </r>
  <r>
    <x v="158"/>
    <x v="87"/>
    <n v="5.3"/>
    <n v="83.5"/>
    <x v="136"/>
    <n v="95"/>
    <n v="28.8"/>
    <x v="104"/>
    <n v="18"/>
    <x v="98"/>
    <n v="123.8"/>
    <n v="-0.69684210526315793"/>
    <n v="0.76736672051696286"/>
    <n v="0.23263327948303716"/>
    <n v="18"/>
    <n v="79.599676898222938"/>
    <x v="0"/>
  </r>
  <r>
    <x v="159"/>
    <x v="56"/>
    <n v="5.5"/>
    <n v="60.6"/>
    <x v="40"/>
    <n v="90"/>
    <n v="28.8"/>
    <x v="104"/>
    <n v="7.78"/>
    <x v="99"/>
    <n v="118.8"/>
    <n v="-0.68"/>
    <n v="0.75757575757575757"/>
    <n v="0.24242424242424243"/>
    <n v="7.7837837837837833"/>
    <n v="75.163636363636371"/>
    <x v="0"/>
  </r>
  <r>
    <x v="160"/>
    <x v="69"/>
    <n v="6.8"/>
    <n v="84"/>
    <x v="137"/>
    <n v="43"/>
    <n v="28.7"/>
    <x v="105"/>
    <n v="5.52"/>
    <x v="60"/>
    <n v="71.7"/>
    <n v="-0.33255813953488372"/>
    <n v="0.59972105997210601"/>
    <n v="0.40027894002789399"/>
    <n v="5.5192307692307692"/>
    <n v="37.276011157601118"/>
    <x v="2"/>
  </r>
  <r>
    <x v="161"/>
    <x v="48"/>
    <n v="4.5"/>
    <n v="87.4"/>
    <x v="37"/>
    <n v="40"/>
    <n v="28.6"/>
    <x v="106"/>
    <n v="4.33"/>
    <x v="0"/>
    <n v="68.599999999999994"/>
    <n v="-0.28499999999999998"/>
    <n v="0.58309037900874638"/>
    <n v="0.41690962099125373"/>
    <n v="4.3333333333333339"/>
    <n v="35.247230320699714"/>
    <x v="2"/>
  </r>
  <r>
    <x v="162"/>
    <x v="87"/>
    <n v="6.9"/>
    <n v="63.8"/>
    <x v="138"/>
    <n v="76"/>
    <n v="28.2"/>
    <x v="107"/>
    <n v="17.63"/>
    <x v="100"/>
    <n v="104.2"/>
    <n v="-0.62894736842105259"/>
    <n v="0.72936660268714004"/>
    <n v="0.27063339731285985"/>
    <n v="17.625"/>
    <n v="63.063723608445287"/>
    <x v="0"/>
  </r>
  <r>
    <x v="163"/>
    <x v="88"/>
    <n v="7.7"/>
    <n v="66.8"/>
    <x v="139"/>
    <n v="51"/>
    <n v="28.1"/>
    <x v="108"/>
    <n v="16.53"/>
    <x v="101"/>
    <n v="79.099999999999994"/>
    <n v="-0.44901960784313721"/>
    <n v="0.64475347661188376"/>
    <n v="0.35524652338811635"/>
    <n v="16.529411764705884"/>
    <n v="42.864854614412138"/>
    <x v="2"/>
  </r>
  <r>
    <x v="164"/>
    <x v="58"/>
    <n v="7.4"/>
    <n v="51.4"/>
    <x v="140"/>
    <n v="44"/>
    <n v="28"/>
    <x v="109"/>
    <n v="4.75"/>
    <x v="102"/>
    <n v="72"/>
    <n v="-0.36363636363636365"/>
    <n v="0.61111111111111116"/>
    <n v="0.3888888888888889"/>
    <n v="4.7457627118644066"/>
    <n v="37.777777777777786"/>
    <x v="2"/>
  </r>
  <r>
    <x v="165"/>
    <x v="32"/>
    <n v="8.6999999999999993"/>
    <n v="55.1"/>
    <x v="141"/>
    <n v="44"/>
    <n v="27.7"/>
    <x v="110"/>
    <n v="4.78"/>
    <x v="103"/>
    <n v="71.7"/>
    <n v="-0.37045454545454548"/>
    <n v="0.61366806136680607"/>
    <n v="0.38633193863319382"/>
    <n v="4.7758620689655169"/>
    <n v="37.702789400278938"/>
    <x v="2"/>
  </r>
  <r>
    <x v="166"/>
    <x v="89"/>
    <n v="4"/>
    <n v="61"/>
    <x v="90"/>
    <n v="70"/>
    <n v="27.3"/>
    <x v="111"/>
    <n v="12.41"/>
    <x v="104"/>
    <n v="97.3"/>
    <n v="-0.61"/>
    <n v="0.71942446043165464"/>
    <n v="0.28057553956834536"/>
    <n v="12.409090909090908"/>
    <n v="58.019424460431658"/>
    <x v="1"/>
  </r>
  <r>
    <x v="167"/>
    <x v="24"/>
    <n v="5.8"/>
    <n v="63.6"/>
    <x v="142"/>
    <n v="46"/>
    <n v="27.1"/>
    <x v="112"/>
    <n v="3.82"/>
    <x v="42"/>
    <n v="73.099999999999994"/>
    <n v="-0.41086956521739126"/>
    <n v="0.62927496580027364"/>
    <n v="0.37072503419972647"/>
    <n v="3.8169014084507045"/>
    <n v="38.993296853625175"/>
    <x v="2"/>
  </r>
  <r>
    <x v="168"/>
    <x v="51"/>
    <n v="4.4000000000000004"/>
    <n v="73.7"/>
    <x v="72"/>
    <n v="53"/>
    <n v="26.9"/>
    <x v="113"/>
    <n v="6.9"/>
    <x v="32"/>
    <n v="79.900000000000006"/>
    <n v="-0.49245283018867925"/>
    <n v="0.66332916145181475"/>
    <n v="0.33667083854818519"/>
    <n v="6.8974358974358969"/>
    <n v="44.212891113892361"/>
    <x v="2"/>
  </r>
  <r>
    <x v="169"/>
    <x v="90"/>
    <n v="5.7"/>
    <n v="97.5"/>
    <x v="120"/>
    <n v="73"/>
    <n v="26.8"/>
    <x v="114"/>
    <n v="22.33"/>
    <x v="105"/>
    <n v="99.8"/>
    <n v="-0.63287671232876719"/>
    <n v="0.73146292585170347"/>
    <n v="0.26853707414829658"/>
    <n v="22.333333333333336"/>
    <n v="60.593587174348698"/>
    <x v="1"/>
  </r>
  <r>
    <x v="170"/>
    <x v="71"/>
    <n v="8.3000000000000007"/>
    <n v="50.3"/>
    <x v="99"/>
    <n v="75"/>
    <n v="26.5"/>
    <x v="115"/>
    <n v="12.62"/>
    <x v="106"/>
    <n v="101.5"/>
    <n v="-0.64666666666666661"/>
    <n v="0.73891625615763545"/>
    <n v="0.26108374384236455"/>
    <n v="12.619047619047619"/>
    <n v="62.337438423645324"/>
    <x v="1"/>
  </r>
  <r>
    <x v="171"/>
    <x v="51"/>
    <n v="5.4"/>
    <n v="92.8"/>
    <x v="143"/>
    <n v="58"/>
    <n v="26.5"/>
    <x v="115"/>
    <n v="6.79"/>
    <x v="107"/>
    <n v="84.5"/>
    <n v="-0.5431034482758621"/>
    <n v="0.68639053254437865"/>
    <n v="0.31360946745562129"/>
    <n v="6.7948717948717947"/>
    <n v="48.121301775147927"/>
    <x v="1"/>
  </r>
  <r>
    <x v="172"/>
    <x v="68"/>
    <n v="8.5"/>
    <n v="97.7"/>
    <x v="144"/>
    <n v="46"/>
    <n v="26.5"/>
    <x v="115"/>
    <n v="7.79"/>
    <x v="108"/>
    <n v="72.5"/>
    <n v="-0.42391304347826086"/>
    <n v="0.6344827586206897"/>
    <n v="0.36551724137931035"/>
    <n v="7.7941176470588234"/>
    <n v="38.872413793103448"/>
    <x v="2"/>
  </r>
  <r>
    <x v="173"/>
    <x v="91"/>
    <n v="4.5"/>
    <n v="69"/>
    <x v="22"/>
    <n v="59"/>
    <n v="26.4"/>
    <x v="116"/>
    <n v="8.8000000000000007"/>
    <x v="103"/>
    <n v="85.4"/>
    <n v="-0.55254237288135599"/>
    <n v="0.69086651053864168"/>
    <n v="0.30913348946135827"/>
    <n v="8.7999999999999989"/>
    <n v="48.922248243559714"/>
    <x v="1"/>
  </r>
  <r>
    <x v="174"/>
    <x v="82"/>
    <n v="7.2"/>
    <n v="85.8"/>
    <x v="145"/>
    <n v="50"/>
    <n v="26.4"/>
    <x v="116"/>
    <n v="8.25"/>
    <x v="109"/>
    <n v="76.400000000000006"/>
    <n v="-0.47200000000000003"/>
    <n v="0.65445026178010468"/>
    <n v="0.34554973821989526"/>
    <n v="8.2499999999999982"/>
    <n v="41.845026178010471"/>
    <x v="2"/>
  </r>
  <r>
    <x v="175"/>
    <x v="30"/>
    <n v="4.5999999999999996"/>
    <n v="95.2"/>
    <x v="146"/>
    <n v="42"/>
    <n v="26.3"/>
    <x v="117"/>
    <n v="4.87"/>
    <x v="110"/>
    <n v="68.3"/>
    <n v="-0.37380952380952381"/>
    <n v="0.6149341142020498"/>
    <n v="0.38506588579795026"/>
    <n v="4.8703703703703702"/>
    <n v="35.954465592972184"/>
    <x v="2"/>
  </r>
  <r>
    <x v="176"/>
    <x v="80"/>
    <n v="5"/>
    <n v="94.6"/>
    <x v="147"/>
    <n v="60"/>
    <n v="26.1"/>
    <x v="118"/>
    <n v="13.74"/>
    <x v="111"/>
    <n v="86.1"/>
    <n v="-0.56499999999999995"/>
    <n v="0.69686411149825789"/>
    <n v="0.30313588850174222"/>
    <n v="13.736842105263159"/>
    <n v="49.723693379790944"/>
    <x v="1"/>
  </r>
  <r>
    <x v="177"/>
    <x v="92"/>
    <n v="6"/>
    <n v="62.6"/>
    <x v="148"/>
    <n v="47"/>
    <n v="25.2"/>
    <x v="119"/>
    <n v="5.86"/>
    <x v="112"/>
    <n v="72.2"/>
    <n v="-0.46382978723404256"/>
    <n v="0.65096952908587258"/>
    <n v="0.34903047091412742"/>
    <n v="5.8604651162790695"/>
    <n v="39.391135734072023"/>
    <x v="2"/>
  </r>
  <r>
    <x v="178"/>
    <x v="83"/>
    <n v="7.6"/>
    <n v="71.400000000000006"/>
    <x v="149"/>
    <n v="58"/>
    <n v="25.2"/>
    <x v="119"/>
    <n v="14"/>
    <x v="113"/>
    <n v="83.2"/>
    <n v="-0.56551724137931025"/>
    <n v="0.69711538461538458"/>
    <n v="0.30288461538461536"/>
    <n v="14"/>
    <n v="48.065384615384616"/>
    <x v="1"/>
  </r>
  <r>
    <x v="179"/>
    <x v="75"/>
    <n v="8.6"/>
    <n v="60.7"/>
    <x v="150"/>
    <n v="55"/>
    <n v="25"/>
    <x v="120"/>
    <n v="19.23"/>
    <x v="114"/>
    <n v="80"/>
    <n v="-0.54545454545454541"/>
    <n v="0.6875"/>
    <n v="0.3125"/>
    <n v="19.23076923076923"/>
    <n v="45.625"/>
    <x v="2"/>
  </r>
  <r>
    <x v="180"/>
    <x v="75"/>
    <n v="8.9"/>
    <n v="66.8"/>
    <x v="139"/>
    <n v="70"/>
    <n v="24.7"/>
    <x v="121"/>
    <n v="19"/>
    <x v="115"/>
    <n v="94.7"/>
    <n v="-0.64714285714285713"/>
    <n v="0.73917634635691654"/>
    <n v="0.26082365364308341"/>
    <n v="19"/>
    <n v="58.184688489968323"/>
    <x v="1"/>
  </r>
  <r>
    <x v="181"/>
    <x v="68"/>
    <n v="6.2"/>
    <n v="67.400000000000006"/>
    <x v="151"/>
    <n v="70"/>
    <n v="24.7"/>
    <x v="121"/>
    <n v="7.26"/>
    <x v="104"/>
    <n v="94.7"/>
    <n v="-0.64714285714285713"/>
    <n v="0.73917634635691654"/>
    <n v="0.26082365364308341"/>
    <n v="7.2647058823529411"/>
    <n v="58.184688489968323"/>
    <x v="1"/>
  </r>
  <r>
    <x v="182"/>
    <x v="51"/>
    <n v="4.7"/>
    <n v="51.4"/>
    <x v="140"/>
    <n v="44"/>
    <n v="24.1"/>
    <x v="122"/>
    <n v="6.18"/>
    <x v="116"/>
    <n v="68.099999999999994"/>
    <n v="-0.45227272727272722"/>
    <n v="0.64610866372980913"/>
    <n v="0.35389133627019093"/>
    <n v="6.1794871794871797"/>
    <n v="36.957562408223204"/>
    <x v="2"/>
  </r>
  <r>
    <x v="183"/>
    <x v="51"/>
    <n v="4"/>
    <n v="53.2"/>
    <x v="152"/>
    <n v="59"/>
    <n v="23.9"/>
    <x v="123"/>
    <n v="6.13"/>
    <x v="117"/>
    <n v="82.9"/>
    <n v="-0.59491525423728819"/>
    <n v="0.71170084439083225"/>
    <n v="0.28829915560916763"/>
    <n v="6.1282051282051277"/>
    <n v="48.880699638118209"/>
    <x v="1"/>
  </r>
  <r>
    <x v="184"/>
    <x v="93"/>
    <n v="5.4"/>
    <n v="80.2"/>
    <x v="153"/>
    <n v="58"/>
    <n v="23.9"/>
    <x v="123"/>
    <n v="15.93"/>
    <x v="118"/>
    <n v="81.900000000000006"/>
    <n v="-0.58793103448275863"/>
    <n v="0.70818070818070811"/>
    <n v="0.29181929181929178"/>
    <n v="15.933333333333332"/>
    <n v="48.048962148962147"/>
    <x v="1"/>
  </r>
  <r>
    <x v="185"/>
    <x v="89"/>
    <n v="5.5"/>
    <n v="56.8"/>
    <x v="154"/>
    <n v="80"/>
    <n v="23.7"/>
    <x v="124"/>
    <n v="10.77"/>
    <x v="108"/>
    <n v="103.7"/>
    <n v="-0.70374999999999999"/>
    <n v="0.77145612343297976"/>
    <n v="0.22854387656702024"/>
    <n v="10.772727272727272"/>
    <n v="67.132979749276757"/>
    <x v="0"/>
  </r>
  <r>
    <x v="186"/>
    <x v="39"/>
    <n v="4.9000000000000004"/>
    <n v="80"/>
    <x v="155"/>
    <n v="66"/>
    <n v="23.6"/>
    <x v="125"/>
    <n v="6.74"/>
    <x v="112"/>
    <n v="89.6"/>
    <n v="-0.64242424242424245"/>
    <n v="0.7366071428571429"/>
    <n v="0.26339285714285715"/>
    <n v="6.7428571428571429"/>
    <n v="54.832142857142863"/>
    <x v="1"/>
  </r>
  <r>
    <x v="187"/>
    <x v="54"/>
    <n v="8.6999999999999993"/>
    <n v="68.900000000000006"/>
    <x v="156"/>
    <n v="49"/>
    <n v="23.4"/>
    <x v="126"/>
    <n v="7.55"/>
    <x v="119"/>
    <n v="72.400000000000006"/>
    <n v="-0.52244897959183678"/>
    <n v="0.67679558011049723"/>
    <n v="0.32320441988950271"/>
    <n v="7.5483870967741931"/>
    <n v="40.725966850828733"/>
    <x v="2"/>
  </r>
  <r>
    <x v="188"/>
    <x v="26"/>
    <n v="8"/>
    <n v="52.5"/>
    <x v="104"/>
    <n v="43"/>
    <n v="23.2"/>
    <x v="127"/>
    <n v="3.87"/>
    <x v="120"/>
    <n v="66.2"/>
    <n v="-0.46046511627906977"/>
    <n v="0.64954682779456185"/>
    <n v="0.35045317220543803"/>
    <n v="3.8666666666666667"/>
    <n v="36.061027190332325"/>
    <x v="2"/>
  </r>
  <r>
    <x v="189"/>
    <x v="93"/>
    <n v="6.9"/>
    <n v="99.4"/>
    <x v="157"/>
    <n v="47"/>
    <n v="23.1"/>
    <x v="128"/>
    <n v="15.4"/>
    <x v="121"/>
    <n v="70.099999999999994"/>
    <n v="-0.50851063829787235"/>
    <n v="0.67047075606276751"/>
    <n v="0.3295292439372326"/>
    <n v="15.4"/>
    <n v="39.124251069900147"/>
    <x v="2"/>
  </r>
  <r>
    <x v="190"/>
    <x v="59"/>
    <n v="5.5"/>
    <n v="62.2"/>
    <x v="124"/>
    <n v="49"/>
    <n v="22.9"/>
    <x v="129"/>
    <n v="4.87"/>
    <x v="49"/>
    <n v="71.900000000000006"/>
    <n v="-0.53265306122448985"/>
    <n v="0.68150208623087616"/>
    <n v="0.31849791376912373"/>
    <n v="4.872340425531914"/>
    <n v="40.687204450625863"/>
    <x v="2"/>
  </r>
  <r>
    <x v="191"/>
    <x v="94"/>
    <n v="8.6"/>
    <n v="91.4"/>
    <x v="158"/>
    <n v="44"/>
    <n v="22.8"/>
    <x v="130"/>
    <n v="9.1199999999999992"/>
    <x v="122"/>
    <n v="66.8"/>
    <n v="-0.48181818181818181"/>
    <n v="0.6586826347305389"/>
    <n v="0.3413173652694611"/>
    <n v="9.120000000000001"/>
    <n v="36.76407185628743"/>
    <x v="2"/>
  </r>
  <r>
    <x v="192"/>
    <x v="65"/>
    <n v="6"/>
    <n v="53.8"/>
    <x v="159"/>
    <n v="55"/>
    <n v="21.9"/>
    <x v="131"/>
    <n v="4.9800000000000004"/>
    <x v="123"/>
    <n v="76.900000000000006"/>
    <n v="-0.60181818181818181"/>
    <n v="0.71521456436931075"/>
    <n v="0.28478543563068914"/>
    <n v="4.9772727272727266"/>
    <n v="45.573602080624184"/>
    <x v="2"/>
  </r>
  <r>
    <x v="193"/>
    <x v="39"/>
    <n v="7.1"/>
    <n v="61.6"/>
    <x v="160"/>
    <n v="54"/>
    <n v="21.7"/>
    <x v="132"/>
    <n v="6.2"/>
    <x v="124"/>
    <n v="75.7"/>
    <n v="-0.5981481481481481"/>
    <n v="0.71334214002642005"/>
    <n v="0.2866578599735799"/>
    <n v="6.2"/>
    <n v="44.740951122853367"/>
    <x v="2"/>
  </r>
  <r>
    <x v="194"/>
    <x v="95"/>
    <n v="4.0999999999999996"/>
    <n v="82.6"/>
    <x v="161"/>
    <n v="54"/>
    <n v="21.2"/>
    <x v="133"/>
    <n v="21.2"/>
    <x v="125"/>
    <n v="75.2"/>
    <n v="-0.6074074074074074"/>
    <n v="0.71808510638297873"/>
    <n v="0.28191489361702127"/>
    <n v="21.2"/>
    <n v="44.753191489361704"/>
    <x v="2"/>
  </r>
  <r>
    <x v="195"/>
    <x v="64"/>
    <n v="8.1"/>
    <n v="70.400000000000006"/>
    <x v="162"/>
    <n v="40"/>
    <n v="20.8"/>
    <x v="134"/>
    <n v="6.3"/>
    <x v="126"/>
    <n v="60.8"/>
    <n v="-0.48"/>
    <n v="0.65789473684210531"/>
    <n v="0.34210526315789475"/>
    <n v="6.3030303030303036"/>
    <n v="33.431578947368422"/>
    <x v="2"/>
  </r>
  <r>
    <x v="196"/>
    <x v="71"/>
    <n v="6"/>
    <n v="54.3"/>
    <x v="163"/>
    <n v="54"/>
    <n v="19.399999999999999"/>
    <x v="135"/>
    <n v="9.24"/>
    <x v="127"/>
    <n v="73.400000000000006"/>
    <n v="-0.64074074074074072"/>
    <n v="0.73569482288828336"/>
    <n v="0.26430517711171658"/>
    <n v="9.2380952380952372"/>
    <n v="44.855040871934598"/>
    <x v="2"/>
  </r>
  <r>
    <x v="197"/>
    <x v="51"/>
    <n v="4.0999999999999996"/>
    <n v="55.4"/>
    <x v="164"/>
    <n v="53"/>
    <n v="19"/>
    <x v="136"/>
    <n v="4.87"/>
    <x v="52"/>
    <n v="72"/>
    <n v="-0.64150943396226412"/>
    <n v="0.73611111111111116"/>
    <n v="0.2638888888888889"/>
    <n v="4.8717948717948723"/>
    <n v="44.027777777777786"/>
    <x v="2"/>
  </r>
  <r>
    <x v="198"/>
    <x v="67"/>
    <n v="4.3"/>
    <n v="75.8"/>
    <x v="165"/>
    <n v="55"/>
    <n v="18.3"/>
    <x v="137"/>
    <n v="9.15"/>
    <x v="128"/>
    <n v="73.3"/>
    <n v="-0.66727272727272735"/>
    <n v="0.75034106412005463"/>
    <n v="0.24965893587994545"/>
    <n v="9.15"/>
    <n v="45.837517053206014"/>
    <x v="2"/>
  </r>
  <r>
    <x v="199"/>
    <x v="72"/>
    <n v="5.5"/>
    <n v="53.6"/>
    <x v="166"/>
    <n v="65"/>
    <n v="17.100000000000001"/>
    <x v="138"/>
    <n v="15.55"/>
    <x v="129"/>
    <n v="82.1"/>
    <n v="-0.7369230769230769"/>
    <n v="0.79171741778319127"/>
    <n v="0.20828258221680881"/>
    <n v="15.545454545454545"/>
    <n v="55.023264311814863"/>
    <x v="1"/>
  </r>
</pivotCacheRecords>
</file>

<file path=xl/pivotCache/pivotCacheRecords2.xml><?xml version="1.0" encoding="utf-8"?>
<pivotCacheRecords xmlns="http://schemas.openxmlformats.org/spreadsheetml/2006/main" xmlns:r="http://schemas.openxmlformats.org/officeDocument/2006/relationships" count="6">
  <r>
    <s v="S087"/>
    <n v="12"/>
    <n v="8.1999999999999993"/>
    <n v="71"/>
    <n v="0.71"/>
    <n v="95"/>
    <x v="0"/>
    <n v="4.28"/>
    <n v="0.68"/>
    <n v="146.30000000000001"/>
    <n v="-0.46"/>
    <n v="0.64935064935064934"/>
    <n v="0.3506493506493506"/>
    <n v="4.2749999999999995"/>
    <n v="79.676623376623368"/>
    <s v="High"/>
  </r>
  <r>
    <s v="S084"/>
    <n v="10.9"/>
    <n v="5.3"/>
    <n v="87.7"/>
    <n v="0.877"/>
    <n v="88"/>
    <x v="1"/>
    <n v="4.49"/>
    <n v="0.49"/>
    <n v="136.9"/>
    <n v="-0.44431818181818183"/>
    <n v="0.64280496712929147"/>
    <n v="0.35719503287070853"/>
    <n v="4.4862385321100913"/>
    <n v="74.033674214755294"/>
    <s v="High"/>
  </r>
  <r>
    <s v="S061"/>
    <n v="11.9"/>
    <n v="8.4"/>
    <n v="53.9"/>
    <n v="0.53900000000000003"/>
    <n v="78"/>
    <x v="2"/>
    <n v="4.08"/>
    <n v="0.71"/>
    <n v="126.6"/>
    <n v="-0.37692307692307692"/>
    <n v="0.61611374407582942"/>
    <n v="0.38388625592417064"/>
    <n v="4.0840336134453779"/>
    <n v="66.713744075829396"/>
    <s v="High"/>
  </r>
  <r>
    <s v="S072"/>
    <n v="11.4"/>
    <n v="5.5"/>
    <n v="77.099999999999994"/>
    <n v="0.77099999999999991"/>
    <n v="85"/>
    <x v="3"/>
    <n v="4.2"/>
    <n v="0.48"/>
    <n v="132.9"/>
    <n v="-0.43647058823529411"/>
    <n v="0.6395786305492851"/>
    <n v="0.36042136945071479"/>
    <n v="4.2017543859649118"/>
    <n v="71.628367193378466"/>
    <s v="High"/>
  </r>
  <r>
    <s v="S121"/>
    <n v="9.4"/>
    <n v="8.3000000000000007"/>
    <n v="100"/>
    <n v="1"/>
    <n v="78"/>
    <x v="3"/>
    <n v="5.0999999999999996"/>
    <n v="0.88"/>
    <n v="125.9"/>
    <n v="-0.38589743589743591"/>
    <n v="0.61953931691818898"/>
    <n v="0.38046068308181091"/>
    <n v="5.0957446808510634"/>
    <n v="66.548133439237489"/>
    <s v="High"/>
  </r>
  <r>
    <s v="S194"/>
    <n v="11.2"/>
    <n v="6.7"/>
    <n v="89.9"/>
    <n v="0.89900000000000002"/>
    <n v="59"/>
    <x v="4"/>
    <n v="4.17"/>
    <n v="0.6"/>
    <n v="105.7"/>
    <n v="-0.2084745762711864"/>
    <n v="0.55818353831598866"/>
    <n v="0.44181646168401134"/>
    <n v="4.1696428571428577"/>
    <n v="53.565657521286667"/>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7">
    <pivotField axis="axisRow" showAll="0" measureFilter="1" sortType="descending">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showAll="0" sortType="descending"/>
    <pivotField showAll="0"/>
    <pivotField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0"/>
  </rowFields>
  <rowItems count="6">
    <i>
      <x v="86"/>
    </i>
    <i>
      <x v="83"/>
    </i>
    <i>
      <x v="60"/>
    </i>
    <i>
      <x v="120"/>
    </i>
    <i>
      <x v="71"/>
    </i>
    <i t="grand">
      <x/>
    </i>
  </rowItems>
  <colItems count="1">
    <i/>
  </colItems>
  <dataFields count="1">
    <dataField name="Max. of exam_score" fld="6" subtotal="max" baseField="0" baseItem="0"/>
  </dataFields>
  <chartFormats count="2">
    <chartFormat chart="22" format="5"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17">
    <pivotField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axis="axisRow" numFmtId="164" showAll="0" measureFilter="1" sortType="descending">
      <items count="168">
        <item x="99"/>
        <item x="24"/>
        <item x="69"/>
        <item x="88"/>
        <item x="78"/>
        <item x="140"/>
        <item x="132"/>
        <item x="104"/>
        <item x="152"/>
        <item x="166"/>
        <item x="159"/>
        <item x="2"/>
        <item x="110"/>
        <item x="53"/>
        <item x="163"/>
        <item x="141"/>
        <item x="84"/>
        <item x="164"/>
        <item x="126"/>
        <item x="92"/>
        <item x="98"/>
        <item x="59"/>
        <item x="154"/>
        <item x="62"/>
        <item x="46"/>
        <item x="71"/>
        <item x="134"/>
        <item x="74"/>
        <item x="51"/>
        <item x="117"/>
        <item x="128"/>
        <item x="19"/>
        <item x="129"/>
        <item x="40"/>
        <item x="150"/>
        <item x="30"/>
        <item x="90"/>
        <item x="122"/>
        <item x="160"/>
        <item x="124"/>
        <item x="85"/>
        <item x="13"/>
        <item x="148"/>
        <item x="6"/>
        <item x="47"/>
        <item x="12"/>
        <item x="142"/>
        <item x="131"/>
        <item x="138"/>
        <item x="67"/>
        <item x="127"/>
        <item x="68"/>
        <item x="81"/>
        <item x="139"/>
        <item x="91"/>
        <item x="73"/>
        <item x="151"/>
        <item x="28"/>
        <item x="39"/>
        <item x="108"/>
        <item x="156"/>
        <item x="22"/>
        <item x="75"/>
        <item x="76"/>
        <item x="61"/>
        <item x="162"/>
        <item x="8"/>
        <item x="25"/>
        <item x="0"/>
        <item x="26"/>
        <item x="149"/>
        <item x="56"/>
        <item x="121"/>
        <item x="38"/>
        <item x="45"/>
        <item x="65"/>
        <item x="36"/>
        <item x="72"/>
        <item x="63"/>
        <item x="114"/>
        <item x="44"/>
        <item x="112"/>
        <item x="125"/>
        <item x="165"/>
        <item x="103"/>
        <item x="49"/>
        <item x="116"/>
        <item x="41"/>
        <item x="3"/>
        <item x="101"/>
        <item x="118"/>
        <item x="10"/>
        <item x="35"/>
        <item x="58"/>
        <item x="155"/>
        <item x="153"/>
        <item x="77"/>
        <item x="95"/>
        <item x="105"/>
        <item x="107"/>
        <item x="96"/>
        <item x="21"/>
        <item x="66"/>
        <item x="82"/>
        <item x="102"/>
        <item x="60"/>
        <item x="50"/>
        <item x="14"/>
        <item x="161"/>
        <item x="133"/>
        <item x="87"/>
        <item x="136"/>
        <item x="111"/>
        <item x="97"/>
        <item x="137"/>
        <item x="15"/>
        <item x="100"/>
        <item x="34"/>
        <item x="119"/>
        <item x="32"/>
        <item x="93"/>
        <item x="11"/>
        <item x="145"/>
        <item x="106"/>
        <item x="109"/>
        <item x="113"/>
        <item x="115"/>
        <item x="37"/>
        <item x="57"/>
        <item x="18"/>
        <item x="1"/>
        <item x="83"/>
        <item x="27"/>
        <item x="64"/>
        <item x="94"/>
        <item x="43"/>
        <item x="33"/>
        <item x="5"/>
        <item x="79"/>
        <item x="86"/>
        <item x="130"/>
        <item x="80"/>
        <item x="123"/>
        <item x="158"/>
        <item x="16"/>
        <item x="7"/>
        <item x="48"/>
        <item x="31"/>
        <item x="70"/>
        <item x="52"/>
        <item x="143"/>
        <item x="20"/>
        <item x="42"/>
        <item x="147"/>
        <item x="135"/>
        <item x="89"/>
        <item x="146"/>
        <item x="55"/>
        <item x="120"/>
        <item x="144"/>
        <item x="9"/>
        <item x="23"/>
        <item x="17"/>
        <item x="29"/>
        <item x="54"/>
        <item x="157"/>
        <item x="4"/>
        <item t="default"/>
      </items>
      <autoSortScope>
        <pivotArea dataOnly="0" outline="0" fieldPosition="0">
          <references count="1">
            <reference field="4294967294" count="1" selected="0">
              <x v="0"/>
            </reference>
          </references>
        </pivotArea>
      </autoSortScope>
    </pivotField>
    <pivotField showAll="0"/>
    <pivotField showAll="0" sortType="descending"/>
    <pivotField showAll="0"/>
    <pivotField dataField="1"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4"/>
  </rowFields>
  <rowItems count="6">
    <i>
      <x v="99"/>
    </i>
    <i>
      <x v="112"/>
    </i>
    <i>
      <x v="116"/>
    </i>
    <i>
      <x v="158"/>
    </i>
    <i>
      <x v="108"/>
    </i>
    <i t="grand">
      <x/>
    </i>
  </rowItems>
  <colItems count="1">
    <i/>
  </colItems>
  <dataFields count="1">
    <dataField name="Max. of Study_efficiency" fld="8" subtotal="max" baseField="0" baseItem="0"/>
  </dataFields>
  <chartFormats count="12">
    <chartFormat chart="21" format="17" series="1">
      <pivotArea type="data" outline="0" fieldPosition="0">
        <references count="1">
          <reference field="4294967294" count="1" selected="0">
            <x v="0"/>
          </reference>
        </references>
      </pivotArea>
    </chartFormat>
    <chartFormat chart="21" format="18">
      <pivotArea type="data" outline="0" fieldPosition="0">
        <references count="2">
          <reference field="4294967294" count="1" selected="0">
            <x v="0"/>
          </reference>
          <reference field="4" count="1" selected="0">
            <x v="99"/>
          </reference>
        </references>
      </pivotArea>
    </chartFormat>
    <chartFormat chart="21" format="19">
      <pivotArea type="data" outline="0" fieldPosition="0">
        <references count="2">
          <reference field="4294967294" count="1" selected="0">
            <x v="0"/>
          </reference>
          <reference field="4" count="1" selected="0">
            <x v="108"/>
          </reference>
        </references>
      </pivotArea>
    </chartFormat>
    <chartFormat chart="21" format="20">
      <pivotArea type="data" outline="0" fieldPosition="0">
        <references count="2">
          <reference field="4294967294" count="1" selected="0">
            <x v="0"/>
          </reference>
          <reference field="4" count="1" selected="0">
            <x v="112"/>
          </reference>
        </references>
      </pivotArea>
    </chartFormat>
    <chartFormat chart="21" format="21">
      <pivotArea type="data" outline="0" fieldPosition="0">
        <references count="2">
          <reference field="4294967294" count="1" selected="0">
            <x v="0"/>
          </reference>
          <reference field="4" count="1" selected="0">
            <x v="116"/>
          </reference>
        </references>
      </pivotArea>
    </chartFormat>
    <chartFormat chart="21" format="22">
      <pivotArea type="data" outline="0" fieldPosition="0">
        <references count="2">
          <reference field="4294967294" count="1" selected="0">
            <x v="0"/>
          </reference>
          <reference field="4" count="1" selected="0">
            <x v="158"/>
          </reference>
        </references>
      </pivotArea>
    </chartFormat>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4" count="1" selected="0">
            <x v="99"/>
          </reference>
        </references>
      </pivotArea>
    </chartFormat>
    <chartFormat chart="23" format="31">
      <pivotArea type="data" outline="0" fieldPosition="0">
        <references count="2">
          <reference field="4294967294" count="1" selected="0">
            <x v="0"/>
          </reference>
          <reference field="4" count="1" selected="0">
            <x v="112"/>
          </reference>
        </references>
      </pivotArea>
    </chartFormat>
    <chartFormat chart="23" format="32">
      <pivotArea type="data" outline="0" fieldPosition="0">
        <references count="2">
          <reference field="4294967294" count="1" selected="0">
            <x v="0"/>
          </reference>
          <reference field="4" count="1" selected="0">
            <x v="116"/>
          </reference>
        </references>
      </pivotArea>
    </chartFormat>
    <chartFormat chart="23" format="33">
      <pivotArea type="data" outline="0" fieldPosition="0">
        <references count="2">
          <reference field="4294967294" count="1" selected="0">
            <x v="0"/>
          </reference>
          <reference field="4" count="1" selected="0">
            <x v="158"/>
          </reference>
        </references>
      </pivotArea>
    </chartFormat>
    <chartFormat chart="23" format="34">
      <pivotArea type="data" outline="0" fieldPosition="0">
        <references count="2">
          <reference field="4294967294" count="1" selected="0">
            <x v="0"/>
          </reference>
          <reference field="4" count="1" selected="0">
            <x v="108"/>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7">
    <pivotField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numFmtId="164" showAll="0"/>
    <pivotField showAll="0"/>
    <pivotField showAll="0" sortType="descending"/>
    <pivotField showAll="0"/>
    <pivotField dataField="1" showAll="0"/>
    <pivotField axis="axisRow" showAll="0" measureFilter="1" sortType="descending">
      <items count="302">
        <item m="1" x="170"/>
        <item m="1" x="219"/>
        <item m="1" x="196"/>
        <item m="1" x="222"/>
        <item m="1" x="164"/>
        <item m="1" x="233"/>
        <item m="1" x="182"/>
        <item m="1" x="150"/>
        <item m="1" x="140"/>
        <item m="1" x="234"/>
        <item m="1" x="282"/>
        <item m="1" x="281"/>
        <item m="1" x="243"/>
        <item m="1" x="232"/>
        <item m="1" x="277"/>
        <item m="1" x="155"/>
        <item m="1" x="292"/>
        <item m="1" x="284"/>
        <item m="1" x="268"/>
        <item m="1" x="197"/>
        <item m="1" x="259"/>
        <item m="1" x="263"/>
        <item m="1" x="162"/>
        <item m="1" x="238"/>
        <item m="1" x="229"/>
        <item m="1" x="225"/>
        <item x="5"/>
        <item m="1" x="145"/>
        <item m="1" x="187"/>
        <item m="1" x="269"/>
        <item m="1" x="161"/>
        <item m="1" x="274"/>
        <item m="1" x="165"/>
        <item m="1" x="156"/>
        <item m="1" x="253"/>
        <item m="1" x="223"/>
        <item m="1" x="226"/>
        <item m="1" x="198"/>
        <item m="1" x="205"/>
        <item m="1" x="135"/>
        <item m="1" x="273"/>
        <item m="1" x="287"/>
        <item m="1" x="240"/>
        <item m="1" x="206"/>
        <item m="1" x="220"/>
        <item m="1" x="298"/>
        <item m="1" x="270"/>
        <item m="1" x="252"/>
        <item m="1" x="210"/>
        <item m="1" x="271"/>
        <item m="1" x="199"/>
        <item m="1" x="244"/>
        <item m="1" x="293"/>
        <item m="1" x="230"/>
        <item m="1" x="188"/>
        <item m="1" x="208"/>
        <item m="1" x="136"/>
        <item m="1" x="294"/>
        <item m="1" x="137"/>
        <item m="1" x="295"/>
        <item m="1" x="288"/>
        <item m="1" x="256"/>
        <item x="37"/>
        <item m="1" x="214"/>
        <item m="1" x="204"/>
        <item m="1" x="152"/>
        <item m="1" x="176"/>
        <item m="1" x="174"/>
        <item m="1" x="201"/>
        <item m="1" x="189"/>
        <item m="1" x="202"/>
        <item m="1" x="211"/>
        <item m="1" x="157"/>
        <item m="1" x="215"/>
        <item m="1" x="216"/>
        <item m="1" x="173"/>
        <item m="1" x="163"/>
        <item m="1" x="235"/>
        <item m="1" x="212"/>
        <item m="1" x="200"/>
        <item m="1" x="177"/>
        <item m="1" x="151"/>
        <item m="1" x="195"/>
        <item x="63"/>
        <item m="1" x="153"/>
        <item m="1" x="141"/>
        <item m="1" x="133"/>
        <item m="1" x="248"/>
        <item x="52"/>
        <item m="1" x="190"/>
        <item m="1" x="183"/>
        <item m="1" x="171"/>
        <item m="1" x="178"/>
        <item m="1" x="296"/>
        <item x="83"/>
        <item m="1" x="275"/>
        <item m="1" x="278"/>
        <item m="1" x="192"/>
        <item m="1" x="138"/>
        <item m="1" x="158"/>
        <item m="1" x="186"/>
        <item m="1" x="276"/>
        <item m="1" x="179"/>
        <item m="1" x="249"/>
        <item m="1" x="297"/>
        <item m="1" x="213"/>
        <item m="1" x="279"/>
        <item m="1" x="272"/>
        <item m="1" x="180"/>
        <item m="1" x="166"/>
        <item m="1" x="217"/>
        <item m="1" x="227"/>
        <item m="1" x="250"/>
        <item m="1" x="159"/>
        <item m="1" x="266"/>
        <item m="1" x="191"/>
        <item m="1" x="167"/>
        <item m="1" x="299"/>
        <item m="1" x="255"/>
        <item m="1" x="184"/>
        <item m="1" x="289"/>
        <item m="1" x="130"/>
        <item m="1" x="260"/>
        <item m="1" x="290"/>
        <item m="1" x="257"/>
        <item m="1" x="142"/>
        <item m="1" x="261"/>
        <item m="1" x="291"/>
        <item m="1" x="146"/>
        <item m="1" x="143"/>
        <item x="103"/>
        <item m="1" x="139"/>
        <item m="1" x="283"/>
        <item m="1" x="218"/>
        <item m="1" x="181"/>
        <item m="1" x="237"/>
        <item m="1" x="144"/>
        <item m="1" x="300"/>
        <item m="1" x="258"/>
        <item m="1" x="169"/>
        <item m="1" x="239"/>
        <item m="1" x="241"/>
        <item m="1" x="203"/>
        <item m="1" x="131"/>
        <item m="1" x="193"/>
        <item m="1" x="154"/>
        <item m="1" x="254"/>
        <item m="1" x="228"/>
        <item x="88"/>
        <item m="1" x="246"/>
        <item x="55"/>
        <item m="1" x="134"/>
        <item m="1" x="285"/>
        <item x="128"/>
        <item x="109"/>
        <item m="1" x="264"/>
        <item m="1" x="194"/>
        <item m="1" x="160"/>
        <item m="1" x="224"/>
        <item x="108"/>
        <item m="1" x="231"/>
        <item m="1" x="175"/>
        <item m="1" x="262"/>
        <item m="1" x="185"/>
        <item m="1" x="286"/>
        <item m="1" x="172"/>
        <item x="70"/>
        <item m="1" x="245"/>
        <item x="96"/>
        <item m="1" x="168"/>
        <item x="122"/>
        <item m="1" x="280"/>
        <item x="118"/>
        <item m="1" x="247"/>
        <item m="1" x="267"/>
        <item m="1" x="147"/>
        <item x="125"/>
        <item m="1" x="236"/>
        <item m="1" x="265"/>
        <item m="1" x="251"/>
        <item m="1" x="132"/>
        <item m="1" x="148"/>
        <item x="105"/>
        <item m="1" x="149"/>
        <item x="129"/>
        <item m="1" x="242"/>
        <item m="1" x="207"/>
        <item m="1" x="209"/>
        <item m="1" x="221"/>
        <item x="114"/>
        <item x="62"/>
        <item x="31"/>
        <item x="21"/>
        <item x="6"/>
        <item x="115"/>
        <item x="94"/>
        <item x="58"/>
        <item x="76"/>
        <item x="86"/>
        <item x="25"/>
        <item x="27"/>
        <item x="45"/>
        <item x="3"/>
        <item x="8"/>
        <item x="7"/>
        <item x="92"/>
        <item x="54"/>
        <item x="40"/>
        <item x="41"/>
        <item x="106"/>
        <item x="14"/>
        <item x="50"/>
        <item x="51"/>
        <item x="23"/>
        <item x="17"/>
        <item x="53"/>
        <item x="12"/>
        <item x="35"/>
        <item x="56"/>
        <item x="22"/>
        <item x="121"/>
        <item x="48"/>
        <item x="85"/>
        <item x="111"/>
        <item x="72"/>
        <item x="73"/>
        <item x="77"/>
        <item x="24"/>
        <item x="80"/>
        <item x="32"/>
        <item x="38"/>
        <item x="49"/>
        <item x="57"/>
        <item x="44"/>
        <item x="43"/>
        <item x="2"/>
        <item x="42"/>
        <item x="124"/>
        <item x="69"/>
        <item x="65"/>
        <item x="117"/>
        <item x="126"/>
        <item x="93"/>
        <item x="110"/>
        <item x="33"/>
        <item x="107"/>
        <item x="79"/>
        <item x="9"/>
        <item x="36"/>
        <item x="1"/>
        <item x="46"/>
        <item x="0"/>
        <item x="104"/>
        <item x="10"/>
        <item x="95"/>
        <item x="101"/>
        <item x="60"/>
        <item x="19"/>
        <item x="11"/>
        <item x="34"/>
        <item x="74"/>
        <item x="13"/>
        <item x="116"/>
        <item x="120"/>
        <item x="16"/>
        <item x="112"/>
        <item x="47"/>
        <item x="90"/>
        <item x="4"/>
        <item x="39"/>
        <item x="18"/>
        <item x="68"/>
        <item x="98"/>
        <item x="29"/>
        <item x="84"/>
        <item x="26"/>
        <item x="97"/>
        <item x="30"/>
        <item x="89"/>
        <item x="15"/>
        <item x="59"/>
        <item x="67"/>
        <item x="123"/>
        <item x="20"/>
        <item x="91"/>
        <item x="64"/>
        <item x="113"/>
        <item x="87"/>
        <item x="71"/>
        <item x="78"/>
        <item x="28"/>
        <item x="61"/>
        <item x="81"/>
        <item x="75"/>
        <item x="127"/>
        <item x="66"/>
        <item x="119"/>
        <item x="102"/>
        <item x="82"/>
        <item x="99"/>
        <item x="100"/>
        <item t="default"/>
      </items>
      <autoSortScope>
        <pivotArea dataOnly="0" outline="0" fieldPosition="0">
          <references count="1">
            <reference field="4294967294" count="1" selected="0">
              <x v="0"/>
            </reference>
          </references>
        </pivotArea>
      </autoSortScope>
    </pivotField>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9"/>
  </rowFields>
  <rowItems count="6">
    <i>
      <x v="260"/>
    </i>
    <i>
      <x v="197"/>
    </i>
    <i>
      <x v="238"/>
    </i>
    <i>
      <x v="182"/>
    </i>
    <i>
      <x v="176"/>
    </i>
    <i t="grand">
      <x/>
    </i>
  </rowItems>
  <colItems count="1">
    <i/>
  </colItems>
  <dataFields count="1">
    <dataField name="Max. of Study_efficiency" fld="8" subtotal="max" baseField="0" baseItem="0"/>
  </dataFields>
  <chartFormats count="10">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9" count="1" selected="0">
            <x v="197"/>
          </reference>
        </references>
      </pivotArea>
    </chartFormat>
    <chartFormat chart="23" format="12">
      <pivotArea type="data" outline="0" fieldPosition="0">
        <references count="2">
          <reference field="4294967294" count="1" selected="0">
            <x v="0"/>
          </reference>
          <reference field="9" count="1" selected="0">
            <x v="238"/>
          </reference>
        </references>
      </pivotArea>
    </chartFormat>
    <chartFormat chart="23" format="13">
      <pivotArea type="data" outline="0" fieldPosition="0">
        <references count="2">
          <reference field="4294967294" count="1" selected="0">
            <x v="0"/>
          </reference>
          <reference field="9" count="1" selected="0">
            <x v="182"/>
          </reference>
        </references>
      </pivotArea>
    </chartFormat>
    <chartFormat chart="23" format="14">
      <pivotArea type="data" outline="0" fieldPosition="0">
        <references count="2">
          <reference field="4294967294" count="1" selected="0">
            <x v="0"/>
          </reference>
          <reference field="9" count="1" selected="0">
            <x v="176"/>
          </reference>
        </references>
      </pivotArea>
    </chartFormat>
    <chartFormat chart="25" format="20" series="1">
      <pivotArea type="data" outline="0" fieldPosition="0">
        <references count="1">
          <reference field="4294967294" count="1" selected="0">
            <x v="0"/>
          </reference>
        </references>
      </pivotArea>
    </chartFormat>
    <chartFormat chart="25" format="21">
      <pivotArea type="data" outline="0" fieldPosition="0">
        <references count="2">
          <reference field="4294967294" count="1" selected="0">
            <x v="0"/>
          </reference>
          <reference field="9" count="1" selected="0">
            <x v="197"/>
          </reference>
        </references>
      </pivotArea>
    </chartFormat>
    <chartFormat chart="25" format="22">
      <pivotArea type="data" outline="0" fieldPosition="0">
        <references count="2">
          <reference field="4294967294" count="1" selected="0">
            <x v="0"/>
          </reference>
          <reference field="9" count="1" selected="0">
            <x v="238"/>
          </reference>
        </references>
      </pivotArea>
    </chartFormat>
    <chartFormat chart="25" format="23">
      <pivotArea type="data" outline="0" fieldPosition="0">
        <references count="2">
          <reference field="4294967294" count="1" selected="0">
            <x v="0"/>
          </reference>
          <reference field="9" count="1" selected="0">
            <x v="182"/>
          </reference>
        </references>
      </pivotArea>
    </chartFormat>
    <chartFormat chart="25" format="24">
      <pivotArea type="data" outline="0" fieldPosition="0">
        <references count="2">
          <reference field="4294967294" count="1" selected="0">
            <x v="0"/>
          </reference>
          <reference field="9" count="1" selected="0">
            <x v="176"/>
          </reference>
        </references>
      </pivotArea>
    </chartFormat>
  </chartFormats>
  <pivotTableStyleInfo name="PivotStyleLight16" showRowHeaders="1" showColHeaders="1" showRowStripes="0" showColStripes="0" showLastColumn="1"/>
  <filters count="1">
    <filter fld="9"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17">
    <pivotField axis="axisRow" showAll="0" measureFilter="1" sortType="descending">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sortType="descending"/>
    <pivotField showAll="0"/>
    <pivotField dataField="1"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0"/>
  </rowFields>
  <rowItems count="6">
    <i>
      <x v="100"/>
    </i>
    <i>
      <x v="12"/>
    </i>
    <i>
      <x v="67"/>
    </i>
    <i>
      <x v="126"/>
    </i>
    <i>
      <x v="124"/>
    </i>
    <i t="grand">
      <x/>
    </i>
  </rowItems>
  <colItems count="1">
    <i/>
  </colItems>
  <dataFields count="1">
    <dataField name="Max. of Study_efficiency" fld="8" subtotal="max" baseField="0" baseItem="0"/>
  </dataFields>
  <chartFormats count="10">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0" count="1" selected="0">
            <x v="12"/>
          </reference>
        </references>
      </pivotArea>
    </chartFormat>
    <chartFormat chart="27" format="13">
      <pivotArea type="data" outline="0" fieldPosition="0">
        <references count="2">
          <reference field="4294967294" count="1" selected="0">
            <x v="0"/>
          </reference>
          <reference field="0" count="1" selected="0">
            <x v="67"/>
          </reference>
        </references>
      </pivotArea>
    </chartFormat>
    <chartFormat chart="27" format="14">
      <pivotArea type="data" outline="0" fieldPosition="0">
        <references count="2">
          <reference field="4294967294" count="1" selected="0">
            <x v="0"/>
          </reference>
          <reference field="0" count="1" selected="0">
            <x v="126"/>
          </reference>
        </references>
      </pivotArea>
    </chartFormat>
    <chartFormat chart="27" format="15">
      <pivotArea type="data" outline="0" fieldPosition="0">
        <references count="2">
          <reference field="4294967294" count="1" selected="0">
            <x v="0"/>
          </reference>
          <reference field="0" count="1" selected="0">
            <x v="124"/>
          </reference>
        </references>
      </pivotArea>
    </chartFormat>
    <chartFormat chart="30" format="21" series="1">
      <pivotArea type="data" outline="0" fieldPosition="0">
        <references count="1">
          <reference field="4294967294" count="1" selected="0">
            <x v="0"/>
          </reference>
        </references>
      </pivotArea>
    </chartFormat>
    <chartFormat chart="30" format="22">
      <pivotArea type="data" outline="0" fieldPosition="0">
        <references count="2">
          <reference field="4294967294" count="1" selected="0">
            <x v="0"/>
          </reference>
          <reference field="0" count="1" selected="0">
            <x v="12"/>
          </reference>
        </references>
      </pivotArea>
    </chartFormat>
    <chartFormat chart="30" format="23">
      <pivotArea type="data" outline="0" fieldPosition="0">
        <references count="2">
          <reference field="4294967294" count="1" selected="0">
            <x v="0"/>
          </reference>
          <reference field="0" count="1" selected="0">
            <x v="67"/>
          </reference>
        </references>
      </pivotArea>
    </chartFormat>
    <chartFormat chart="30" format="24">
      <pivotArea type="data" outline="0" fieldPosition="0">
        <references count="2">
          <reference field="4294967294" count="1" selected="0">
            <x v="0"/>
          </reference>
          <reference field="0" count="1" selected="0">
            <x v="126"/>
          </reference>
        </references>
      </pivotArea>
    </chartFormat>
    <chartFormat chart="30" format="25">
      <pivotArea type="data" outline="0" fieldPosition="0">
        <references count="2">
          <reference field="4294967294" count="1" selected="0">
            <x v="0"/>
          </reference>
          <reference field="0" count="1" selected="0">
            <x v="124"/>
          </reference>
        </references>
      </pivotArea>
    </chartFormat>
  </chartFormats>
  <pivotTableStyleInfo name="PivotStyleLight16" showRowHeaders="1" showColHeaders="1" showRowStripes="0" showColStripes="0" showLastColumn="1"/>
  <filters count="1">
    <filter fld="0"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7" firstHeaderRow="1" firstDataRow="1" firstDataCol="1"/>
  <pivotFields count="17">
    <pivotField dataField="1"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numFmtId="164" showAll="0"/>
    <pivotField showAll="0"/>
    <pivotField showAll="0" sortType="descending"/>
    <pivotField showAll="0"/>
    <pivotField showAll="0" sortType="descending"/>
    <pivotField showAll="0"/>
    <pivotField showAll="0"/>
    <pivotField numFmtId="9" showAll="0"/>
    <pivotField numFmtId="2" showAll="0"/>
    <pivotField numFmtId="2" showAll="0"/>
    <pivotField numFmtId="2" showAll="0"/>
    <pivotField numFmtId="2" showAll="0"/>
    <pivotField axis="axisRow" showAll="0" sortType="descending">
      <items count="9">
        <item x="2"/>
        <item x="0"/>
        <item h="1" f="1" x="7"/>
        <item h="1" f="1" x="3"/>
        <item h="1" f="1" x="4"/>
        <item h="1" f="1" x="5"/>
        <item h="1" f="1" x="6"/>
        <item x="1"/>
        <item t="default"/>
      </items>
    </pivotField>
  </pivotFields>
  <rowFields count="1">
    <field x="16"/>
  </rowFields>
  <rowItems count="4">
    <i>
      <x/>
    </i>
    <i>
      <x v="1"/>
    </i>
    <i>
      <x v="7"/>
    </i>
    <i t="grand">
      <x/>
    </i>
  </rowItems>
  <colItems count="1">
    <i/>
  </colItems>
  <dataFields count="1">
    <dataField name="Count of student_id" fld="0" subtotal="count" baseField="0" baseItem="0"/>
  </dataFields>
  <chartFormats count="8">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16" count="1" selected="0">
            <x v="1"/>
          </reference>
        </references>
      </pivotArea>
    </chartFormat>
    <chartFormat chart="41" format="7">
      <pivotArea type="data" outline="0" fieldPosition="0">
        <references count="2">
          <reference field="4294967294" count="1" selected="0">
            <x v="0"/>
          </reference>
          <reference field="16" count="1" selected="0">
            <x v="7"/>
          </reference>
        </references>
      </pivotArea>
    </chartFormat>
    <chartFormat chart="41" format="8">
      <pivotArea type="data" outline="0" fieldPosition="0">
        <references count="2">
          <reference field="4294967294" count="1" selected="0">
            <x v="0"/>
          </reference>
          <reference field="16" count="1" selected="0">
            <x v="0"/>
          </reference>
        </references>
      </pivotArea>
    </chartFormat>
    <chartFormat chart="44" format="13" series="1">
      <pivotArea type="data" outline="0" fieldPosition="0">
        <references count="1">
          <reference field="4294967294" count="1" selected="0">
            <x v="0"/>
          </reference>
        </references>
      </pivotArea>
    </chartFormat>
    <chartFormat chart="44" format="14">
      <pivotArea type="data" outline="0" fieldPosition="0">
        <references count="2">
          <reference field="4294967294" count="1" selected="0">
            <x v="0"/>
          </reference>
          <reference field="16" count="1" selected="0">
            <x v="0"/>
          </reference>
        </references>
      </pivotArea>
    </chartFormat>
    <chartFormat chart="44" format="15">
      <pivotArea type="data" outline="0" fieldPosition="0">
        <references count="2">
          <reference field="4294967294" count="1" selected="0">
            <x v="0"/>
          </reference>
          <reference field="16" count="1" selected="0">
            <x v="1"/>
          </reference>
        </references>
      </pivotArea>
    </chartFormat>
    <chartFormat chart="44" format="16">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0" firstDataRow="1" firstDataCol="1"/>
  <pivotFields count="16">
    <pivotField showAll="0"/>
    <pivotField dataField="1" showAll="0"/>
    <pivotField dataField="1" showAll="0"/>
    <pivotField showAll="0"/>
    <pivotField dataField="1" numFmtId="164" showAll="0"/>
    <pivotField showAll="0"/>
    <pivotField axis="axisRow" showAll="0" sortType="descending">
      <items count="6">
        <item x="0"/>
        <item x="1"/>
        <item x="2"/>
        <item x="3"/>
        <item x="4"/>
        <item t="default"/>
      </items>
    </pivotField>
    <pivotField showAll="0"/>
    <pivotField showAll="0"/>
    <pivotField showAll="0"/>
    <pivotField numFmtId="9" showAll="0"/>
    <pivotField numFmtId="2" showAll="0"/>
    <pivotField numFmtId="2" showAll="0"/>
    <pivotField numFmtId="2" showAll="0"/>
    <pivotField numFmtId="2" showAll="0"/>
    <pivotField showAll="0"/>
  </pivotFields>
  <rowFields count="1">
    <field x="6"/>
  </rowFields>
  <rowItems count="6">
    <i>
      <x/>
    </i>
    <i>
      <x v="1"/>
    </i>
    <i>
      <x v="2"/>
    </i>
    <i>
      <x v="3"/>
    </i>
    <i>
      <x v="4"/>
    </i>
    <i t="grand">
      <x/>
    </i>
  </rowItems>
  <colFields count="1">
    <field x="-2"/>
  </colFields>
  <colItems count="3">
    <i>
      <x/>
    </i>
    <i i="1">
      <x v="1"/>
    </i>
    <i i="2">
      <x v="2"/>
    </i>
  </colItems>
  <dataFields count="3">
    <dataField name="Study Hours" fld="1" baseField="6" baseItem="0"/>
    <dataField name="Sleep Hours" fld="2" baseField="6" baseItem="0"/>
    <dataField name="Attendance Rate" fld="4" baseField="6" baseItem="0"/>
  </dataFields>
  <formats count="1">
    <format dxfId="21">
      <pivotArea collapsedLevelsAreSubtotals="1" fieldPosition="0">
        <references count="2">
          <reference field="4294967294" count="1" selected="0">
            <x v="2"/>
          </reference>
          <reference field="6"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0" firstDataRow="1" firstDataCol="1"/>
  <pivotFields count="16">
    <pivotField showAll="0"/>
    <pivotField dataField="1" showAll="0"/>
    <pivotField dataField="1" showAll="0"/>
    <pivotField showAll="0"/>
    <pivotField dataField="1" numFmtId="164" showAll="0"/>
    <pivotField showAll="0"/>
    <pivotField axis="axisRow" showAll="0" sortType="descending">
      <items count="6">
        <item x="0"/>
        <item x="1"/>
        <item x="2"/>
        <item x="3"/>
        <item x="4"/>
        <item t="default"/>
      </items>
    </pivotField>
    <pivotField showAll="0"/>
    <pivotField showAll="0"/>
    <pivotField showAll="0"/>
    <pivotField numFmtId="9" showAll="0"/>
    <pivotField numFmtId="2" showAll="0"/>
    <pivotField numFmtId="2" showAll="0"/>
    <pivotField numFmtId="2" showAll="0"/>
    <pivotField numFmtId="2" showAll="0"/>
    <pivotField showAll="0"/>
  </pivotFields>
  <rowFields count="1">
    <field x="6"/>
  </rowFields>
  <rowItems count="6">
    <i>
      <x/>
    </i>
    <i>
      <x v="1"/>
    </i>
    <i>
      <x v="2"/>
    </i>
    <i>
      <x v="3"/>
    </i>
    <i>
      <x v="4"/>
    </i>
    <i t="grand">
      <x/>
    </i>
  </rowItems>
  <colFields count="1">
    <field x="-2"/>
  </colFields>
  <colItems count="3">
    <i>
      <x/>
    </i>
    <i i="1">
      <x v="1"/>
    </i>
    <i i="2">
      <x v="2"/>
    </i>
  </colItems>
  <dataFields count="3">
    <dataField name="Study Hours" fld="1" baseField="6" baseItem="0"/>
    <dataField name="Sleep Hours" fld="2" baseField="6" baseItem="0"/>
    <dataField name="Attendance Rate" fld="4" baseField="6" baseItem="0"/>
  </dataFields>
  <formats count="1">
    <format dxfId="20">
      <pivotArea collapsedLevelsAreSubtotals="1" fieldPosition="0">
        <references count="2">
          <reference field="4294967294" count="1" selected="0">
            <x v="2"/>
          </reference>
          <reference field="6" count="0"/>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00000000-0013-0000-FFFF-FFFF01000000}" sourceName="student_id">
  <pivotTables>
    <pivotTable tabId="15" name="PivotTable7"/>
    <pivotTable tabId="13" name="PivotTable7"/>
    <pivotTable tabId="24" name="PivotTable7"/>
    <pivotTable tabId="14" name="PivotTable7"/>
    <pivotTable tabId="21" name="PivotTable7"/>
  </pivotTables>
  <data>
    <tabular pivotCacheId="1679807140">
      <items count="200">
        <i x="139" s="1"/>
        <i x="179" s="1"/>
        <i x="77" s="1"/>
        <i x="100" s="1"/>
        <i x="36" s="1"/>
        <i x="80" s="1"/>
        <i x="57" s="1"/>
        <i x="198" s="1"/>
        <i x="92" s="1"/>
        <i x="180" s="1"/>
        <i x="151" s="1"/>
        <i x="85" s="1"/>
        <i x="126" s="1"/>
        <i x="140" s="1"/>
        <i x="29" s="1"/>
        <i x="99" s="1"/>
        <i x="156" s="1"/>
        <i x="67" s="1"/>
        <i x="82" s="1"/>
        <i x="199" s="1"/>
        <i x="8" s="1"/>
        <i x="70" s="1"/>
        <i x="148" s="1"/>
        <i x="76" s="1"/>
        <i x="47" s="1"/>
        <i x="142" s="1"/>
        <i x="154" s="1"/>
        <i x="170" s="1"/>
        <i x="61" s="1"/>
        <i x="68" s="1"/>
        <i x="94" s="1"/>
        <i x="27" s="1"/>
        <i x="55" s="1"/>
        <i x="19" s="1"/>
        <i x="117" s="1"/>
        <i x="118" s="1"/>
        <i x="13" s="1"/>
        <i x="52" s="1"/>
        <i x="41" s="1"/>
        <i x="88" s="1"/>
        <i x="97" s="1"/>
        <i x="189" s="1"/>
        <i x="62" s="1"/>
        <i x="137" s="1"/>
        <i x="176" s="1"/>
        <i x="119" s="1"/>
        <i x="120" s="1"/>
        <i x="127" s="1"/>
        <i x="28" s="1"/>
        <i x="135" s="1"/>
        <i x="157" s="1"/>
        <i x="132" s="1"/>
        <i x="168" s="1"/>
        <i x="6" s="1"/>
        <i x="95" s="1"/>
        <i x="64" s="1"/>
        <i x="84" s="1"/>
        <i x="53" s="1"/>
        <i x="108" s="1"/>
        <i x="152" s="1"/>
        <i x="2" s="1"/>
        <i x="71" s="1"/>
        <i x="167" s="1"/>
        <i x="72" s="1"/>
        <i x="44" s="1"/>
        <i x="66" s="1"/>
        <i x="193" s="1"/>
        <i x="113" s="1"/>
        <i x="104" s="1"/>
        <i x="183" s="1"/>
        <i x="195" s="1"/>
        <i x="3" s="1"/>
        <i x="26" s="1"/>
        <i x="149" s="1"/>
        <i x="105" s="1"/>
        <i x="175" s="1"/>
        <i x="38" s="1"/>
        <i x="37" s="1"/>
        <i x="171" s="1"/>
        <i x="98" s="1"/>
        <i x="131" s="1"/>
        <i x="112" s="1"/>
        <i x="42" s="1"/>
        <i x="1" s="1"/>
        <i x="56" s="1"/>
        <i x="172" s="1"/>
        <i x="0" s="1"/>
        <i x="161" s="1"/>
        <i x="115" s="1"/>
        <i x="184" s="1"/>
        <i x="166" s="1"/>
        <i x="101" s="1"/>
        <i x="60" s="1"/>
        <i x="153" s="1"/>
        <i x="163" s="1"/>
        <i x="160" s="1"/>
        <i x="65" s="1"/>
        <i x="75" s="1"/>
        <i x="39" s="1"/>
        <i x="63" s="1"/>
        <i x="121" s="1"/>
        <i x="124" s="1"/>
        <i x="81" s="1"/>
        <i x="111" s="1"/>
        <i x="182" s="1"/>
        <i x="54" s="1"/>
        <i x="185" s="1"/>
        <i x="48" s="1"/>
        <i x="188" s="1"/>
        <i x="23" s="1"/>
        <i x="43" s="1"/>
        <i x="91" s="1"/>
        <i x="93" s="1"/>
        <i x="173" s="1"/>
        <i x="18" s="1"/>
        <i x="7" s="1"/>
        <i x="177" s="1"/>
        <i x="125" s="1"/>
        <i x="78" s="1"/>
        <i x="146" s="1"/>
        <i x="4" s="1"/>
        <i x="31" s="1"/>
        <i x="14" s="1"/>
        <i x="46" s="1"/>
        <i x="194" s="1"/>
        <i x="50" s="1"/>
        <i x="169" s="1"/>
        <i x="20" s="1"/>
        <i x="73" s="1"/>
        <i x="49" s="1"/>
        <i x="110" s="1"/>
        <i x="158" s="1"/>
        <i x="10" s="1"/>
        <i x="33" s="1"/>
        <i x="136" s="1"/>
        <i x="30" s="1"/>
        <i x="155" s="1"/>
        <i x="86" s="1"/>
        <i x="40" s="1"/>
        <i x="144" s="1"/>
        <i x="89" s="1"/>
        <i x="17" s="1"/>
        <i x="197" s="1"/>
        <i x="87" s="1"/>
        <i x="145" s="1"/>
        <i x="109" s="1"/>
        <i x="9" s="1"/>
        <i x="83" s="1"/>
        <i x="174" s="1"/>
        <i x="192" s="1"/>
        <i x="15" s="1"/>
        <i x="22" s="1"/>
        <i x="165" s="1"/>
        <i x="106" s="1"/>
        <i x="147" s="1"/>
        <i x="186" s="1"/>
        <i x="103" s="1"/>
        <i x="58" s="1"/>
        <i x="150" s="1"/>
        <i x="181" s="1"/>
        <i x="178" s="1"/>
        <i x="122" s="1"/>
        <i x="143" s="1"/>
        <i x="79" s="1"/>
        <i x="34" s="1"/>
        <i x="141" s="1"/>
        <i x="138" s="1"/>
        <i x="24" s="1"/>
        <i x="116" s="1"/>
        <i x="191" s="1"/>
        <i x="11" s="1"/>
        <i x="128" s="1"/>
        <i x="129" s="1"/>
        <i x="32" s="1"/>
        <i x="12" s="1"/>
        <i x="96" s="1"/>
        <i x="133" s="1"/>
        <i x="130" s="1"/>
        <i x="90" s="1"/>
        <i x="123" s="1"/>
        <i x="51" s="1"/>
        <i x="74" s="1"/>
        <i x="16" s="1"/>
        <i x="196" s="1"/>
        <i x="45" s="1"/>
        <i x="190" s="1"/>
        <i x="69" s="1"/>
        <i x="107" s="1"/>
        <i x="187" s="1"/>
        <i x="164" s="1"/>
        <i x="114" s="1"/>
        <i x="134" s="1"/>
        <i x="159" s="1"/>
        <i x="5" s="1"/>
        <i x="102" s="1"/>
        <i x="21" s="1"/>
        <i x="35" s="1"/>
        <i x="162" s="1"/>
        <i x="25" s="1"/>
        <i x="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00000000-0014-0000-FFFF-FFFF01000000}" cache="Slicer_student_id" caption="student_id" startItem="6" showCaption="0" style="SlicerStyleDark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1" totalsRowShown="0">
  <autoFilter ref="A1:P201" xr:uid="{00000000-0009-0000-0100-000001000000}"/>
  <sortState xmlns:xlrd2="http://schemas.microsoft.com/office/spreadsheetml/2017/richdata2" ref="A2:P201">
    <sortCondition descending="1" ref="G1:G201"/>
  </sortState>
  <tableColumns count="16">
    <tableColumn id="1" xr3:uid="{00000000-0010-0000-0000-000001000000}" name="student_id"/>
    <tableColumn id="2" xr3:uid="{00000000-0010-0000-0000-000002000000}" name="hours_studied"/>
    <tableColumn id="3" xr3:uid="{00000000-0010-0000-0000-000003000000}" name="sleep_hours"/>
    <tableColumn id="4" xr3:uid="{00000000-0010-0000-0000-000004000000}" name="attendance_percent" dataDxfId="19"/>
    <tableColumn id="36" xr3:uid="{00000000-0010-0000-0000-000024000000}" name="Attendance %" dataDxfId="18">
      <calculatedColumnFormula>(Table1[[#This Row],[attendance_percent]]/100)</calculatedColumnFormula>
    </tableColumn>
    <tableColumn id="5" xr3:uid="{00000000-0010-0000-0000-000005000000}" name="previous_scores"/>
    <tableColumn id="6" xr3:uid="{00000000-0010-0000-0000-000006000000}" name="exam_score"/>
    <tableColumn id="7" xr3:uid="{00000000-0010-0000-0000-000007000000}" name="Study_efficiency" dataDxfId="17">
      <calculatedColumnFormula>ROUND(Table1[[#This Row],[exam_score]]/Table1[[#This Row],[hours_studied]], 2)</calculatedColumnFormula>
    </tableColumn>
    <tableColumn id="8" xr3:uid="{00000000-0010-0000-0000-000008000000}" name="Sleep-study balance" dataDxfId="16">
      <calculatedColumnFormula>ROUND(Table1[[#This Row],[sleep_hours]]/Table1[[#This Row],[hours_studied]], 2)</calculatedColumnFormula>
    </tableColumn>
    <tableColumn id="14" xr3:uid="{00000000-0010-0000-0000-00000E000000}" name="Total Scores" dataDxfId="15">
      <calculatedColumnFormula>Table1[[#This Row],[previous_scores]]+Table1[[#This Row],[exam_score]]</calculatedColumnFormula>
    </tableColumn>
    <tableColumn id="13" xr3:uid="{00000000-0010-0000-0000-00000D000000}" name="Improvement Rate" dataDxfId="14">
      <calculatedColumnFormula>(G2-F2)/F2</calculatedColumnFormula>
    </tableColumn>
    <tableColumn id="17" xr3:uid="{00000000-0010-0000-0000-000011000000}" name="Weight of Previous Scores" dataDxfId="13">
      <calculatedColumnFormula>Table1[[#This Row],[previous_scores]]/Table1[[#This Row],[Total Scores]]</calculatedColumnFormula>
    </tableColumn>
    <tableColumn id="18" xr3:uid="{00000000-0010-0000-0000-000012000000}" name="Weight of Exam Score" dataDxfId="12">
      <calculatedColumnFormula>Table1[[#This Row],[exam_score]]/Table1[[#This Row],[Total Scores]]</calculatedColumnFormula>
    </tableColumn>
    <tableColumn id="33" xr3:uid="{00000000-0010-0000-0000-000021000000}" name="Ultimate Study Efficiency" dataDxfId="11">
      <calculatedColumnFormula>Table1[[#This Row],[exam_score]]/Table1[[#This Row],[hours_studied]]</calculatedColumnFormula>
    </tableColumn>
    <tableColumn id="26" xr3:uid="{00000000-0010-0000-0000-00001A000000}" name="Weighted Average" dataDxfId="10">
      <calculatedColumnFormula>(Table1[[#This Row],[previous_scores]]*Table1[[#This Row],[Weight of Previous Scores]])+(Table1[[#This Row],[exam_score]]*Table1[[#This Row],[Weight of Exam Score]])</calculatedColumnFormula>
    </tableColumn>
    <tableColumn id="27" xr3:uid="{00000000-0010-0000-0000-00001B000000}" name="Weighted Average Distribution" dataDxfId="9">
      <calculatedColumnFormula>IF(Table1[[#This Row],[Weighted Average]]&gt;=63, "High", IF(Table1[[#This Row],[Weighted Average]]&gt;=48, "Average", "Low"))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R1:Y2" totalsRowShown="0" dataDxfId="8">
  <autoFilter ref="R1:Y2" xr:uid="{00000000-0009-0000-0100-000005000000}"/>
  <tableColumns count="8">
    <tableColumn id="1" xr3:uid="{00000000-0010-0000-0100-000001000000}" name="Total Study Hours" dataDxfId="7">
      <calculatedColumnFormula>SUM(B:B)</calculatedColumnFormula>
    </tableColumn>
    <tableColumn id="2" xr3:uid="{00000000-0010-0000-0100-000002000000}" name="Total Exam Scores" dataDxfId="6">
      <calculatedColumnFormula>SUM(G:G)</calculatedColumnFormula>
    </tableColumn>
    <tableColumn id="3" xr3:uid="{00000000-0010-0000-0100-000003000000}" name="AVG Study Time" dataDxfId="5">
      <calculatedColumnFormula>AVERAGE(B:B)</calculatedColumnFormula>
    </tableColumn>
    <tableColumn id="4" xr3:uid="{00000000-0010-0000-0100-000004000000}" name="AVG Sleep Time" dataDxfId="4">
      <calculatedColumnFormula>AVERAGE(C:C)</calculatedColumnFormula>
    </tableColumn>
    <tableColumn id="5" xr3:uid="{00000000-0010-0000-0100-000005000000}" name="Highest Exam Score" dataDxfId="3">
      <calculatedColumnFormula>MAX(G:G)</calculatedColumnFormula>
    </tableColumn>
    <tableColumn id="6" xr3:uid="{00000000-0010-0000-0100-000006000000}" name="Lowest Exam Score" dataDxfId="2">
      <calculatedColumnFormula>MIN(G:G)</calculatedColumnFormula>
    </tableColumn>
    <tableColumn id="7" xr3:uid="{00000000-0010-0000-0100-000007000000}" name="Overall Study Efficiency" dataDxfId="1">
      <calculatedColumnFormula>S2/R2</calculatedColumnFormula>
    </tableColumn>
    <tableColumn id="8" xr3:uid="{00000000-0010-0000-0100-000008000000}" name="AVG Individual Efficiency" dataDxfId="0">
      <calculatedColumnFormula>AVERAGE(H:H)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53" zoomScaleNormal="53" workbookViewId="0">
      <selection activeCell="A20" sqref="A20"/>
    </sheetView>
  </sheetViews>
  <sheetFormatPr defaultColWidth="9.109375" defaultRowHeight="14.4" x14ac:dyDescent="0.3"/>
  <cols>
    <col min="1" max="16384" width="9.109375" style="3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122" zoomScaleNormal="122" workbookViewId="0">
      <selection activeCell="R29" sqref="R29"/>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136" zoomScaleNormal="136" workbookViewId="0">
      <selection activeCell="O12" sqref="O12"/>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270F"/>
  </sheetPr>
  <dimension ref="A1"/>
  <sheetViews>
    <sheetView showGridLines="0" topLeftCell="R1" zoomScale="111" zoomScaleNormal="111" workbookViewId="0">
      <selection activeCell="AL33" sqref="AL33"/>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3:B9"/>
  <sheetViews>
    <sheetView workbookViewId="0">
      <selection activeCell="A3" sqref="A3:B9"/>
    </sheetView>
  </sheetViews>
  <sheetFormatPr defaultRowHeight="14.4" x14ac:dyDescent="0.3"/>
  <cols>
    <col min="1" max="1" width="13.109375" bestFit="1" customWidth="1"/>
    <col min="2" max="2" width="19" bestFit="1" customWidth="1"/>
    <col min="3" max="3" width="18.4414062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224</v>
      </c>
    </row>
    <row r="4" spans="1:2" x14ac:dyDescent="0.3">
      <c r="A4" s="12" t="s">
        <v>92</v>
      </c>
      <c r="B4">
        <v>51.3</v>
      </c>
    </row>
    <row r="5" spans="1:2" x14ac:dyDescent="0.3">
      <c r="A5" s="12" t="s">
        <v>89</v>
      </c>
      <c r="B5">
        <v>48.9</v>
      </c>
    </row>
    <row r="6" spans="1:2" x14ac:dyDescent="0.3">
      <c r="A6" s="12" t="s">
        <v>66</v>
      </c>
      <c r="B6">
        <v>48.6</v>
      </c>
    </row>
    <row r="7" spans="1:2" x14ac:dyDescent="0.3">
      <c r="A7" s="12" t="s">
        <v>126</v>
      </c>
      <c r="B7">
        <v>47.9</v>
      </c>
    </row>
    <row r="8" spans="1:2" x14ac:dyDescent="0.3">
      <c r="A8" s="12" t="s">
        <v>77</v>
      </c>
      <c r="B8">
        <v>47.9</v>
      </c>
    </row>
    <row r="9" spans="1:2" x14ac:dyDescent="0.3">
      <c r="A9" s="12" t="s">
        <v>222</v>
      </c>
      <c r="B9">
        <v>51.3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3:B9"/>
  <sheetViews>
    <sheetView workbookViewId="0">
      <selection activeCell="W20" sqref="W20"/>
    </sheetView>
  </sheetViews>
  <sheetFormatPr defaultRowHeight="14.4" x14ac:dyDescent="0.3"/>
  <cols>
    <col min="1" max="1" width="13.109375" bestFit="1" customWidth="1"/>
    <col min="2" max="2" width="23.33203125" bestFit="1" customWidth="1"/>
    <col min="3" max="3" width="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5">
        <v>0.81099999999999994</v>
      </c>
      <c r="B4">
        <v>28.55</v>
      </c>
    </row>
    <row r="5" spans="1:2" x14ac:dyDescent="0.3">
      <c r="A5" s="15">
        <v>0.83599999999999997</v>
      </c>
      <c r="B5">
        <v>24</v>
      </c>
    </row>
    <row r="6" spans="1:2" x14ac:dyDescent="0.3">
      <c r="A6" s="15">
        <v>0.84699999999999998</v>
      </c>
      <c r="B6">
        <v>23</v>
      </c>
    </row>
    <row r="7" spans="1:2" x14ac:dyDescent="0.3">
      <c r="A7" s="15">
        <v>0.97499999999999998</v>
      </c>
      <c r="B7">
        <v>22.33</v>
      </c>
    </row>
    <row r="8" spans="1:2" x14ac:dyDescent="0.3">
      <c r="A8" s="15">
        <v>0.82599999999999996</v>
      </c>
      <c r="B8">
        <v>21.2</v>
      </c>
    </row>
    <row r="9" spans="1:2" x14ac:dyDescent="0.3">
      <c r="A9" s="15" t="s">
        <v>222</v>
      </c>
      <c r="B9">
        <v>28.55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5B549"/>
  </sheetPr>
  <dimension ref="A3:B9"/>
  <sheetViews>
    <sheetView workbookViewId="0">
      <selection activeCell="A6" sqref="A6:B6"/>
      <pivotSelection pane="bottomRight" showHeader="1" extendable="1" axis="axisRow" start="2" max="6" activeRow="5" previousRow="5" click="1" r:id="rId1">
        <pivotArea dataOnly="0" fieldPosition="0">
          <references count="1">
            <reference field="9" count="1">
              <x v="238"/>
            </reference>
          </references>
        </pivotArea>
      </pivotSelection>
    </sheetView>
  </sheetViews>
  <sheetFormatPr defaultRowHeight="14.4" x14ac:dyDescent="0.3"/>
  <cols>
    <col min="1" max="1" width="13.109375" bestFit="1" customWidth="1"/>
    <col min="2" max="2" width="23.33203125" bestFit="1" customWidth="1"/>
    <col min="3" max="3" width="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2">
        <v>7.73</v>
      </c>
      <c r="B4">
        <v>28.55</v>
      </c>
    </row>
    <row r="5" spans="1:2" x14ac:dyDescent="0.3">
      <c r="A5" s="12">
        <v>4.8499999999999996</v>
      </c>
      <c r="B5">
        <v>24</v>
      </c>
    </row>
    <row r="6" spans="1:2" x14ac:dyDescent="0.3">
      <c r="A6" s="12">
        <v>6.36</v>
      </c>
      <c r="B6">
        <v>23</v>
      </c>
    </row>
    <row r="7" spans="1:2" x14ac:dyDescent="0.3">
      <c r="A7" s="12">
        <v>4.75</v>
      </c>
      <c r="B7">
        <v>22.33</v>
      </c>
    </row>
    <row r="8" spans="1:2" x14ac:dyDescent="0.3">
      <c r="A8" s="12">
        <v>4.0999999999999996</v>
      </c>
      <c r="B8">
        <v>21.2</v>
      </c>
    </row>
    <row r="9" spans="1:2" x14ac:dyDescent="0.3">
      <c r="A9" s="12" t="s">
        <v>222</v>
      </c>
      <c r="B9">
        <v>28.55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E5F27"/>
  </sheetPr>
  <dimension ref="A3:B9"/>
  <sheetViews>
    <sheetView workbookViewId="0">
      <selection activeCell="D38" sqref="C38:D38"/>
    </sheetView>
  </sheetViews>
  <sheetFormatPr defaultRowHeight="14.4" x14ac:dyDescent="0.3"/>
  <cols>
    <col min="1" max="1" width="13.109375" bestFit="1" customWidth="1"/>
    <col min="2" max="2" width="23.33203125" bestFit="1" customWidth="1"/>
    <col min="3" max="3" width="22.664062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2" t="s">
        <v>106</v>
      </c>
      <c r="B4">
        <v>28.55</v>
      </c>
    </row>
    <row r="5" spans="1:2" x14ac:dyDescent="0.3">
      <c r="A5" s="12" t="s">
        <v>18</v>
      </c>
      <c r="B5">
        <v>24</v>
      </c>
    </row>
    <row r="6" spans="1:2" x14ac:dyDescent="0.3">
      <c r="A6" s="12" t="s">
        <v>73</v>
      </c>
      <c r="B6">
        <v>23</v>
      </c>
    </row>
    <row r="7" spans="1:2" x14ac:dyDescent="0.3">
      <c r="A7" s="12" t="s">
        <v>132</v>
      </c>
      <c r="B7">
        <v>22.33</v>
      </c>
    </row>
    <row r="8" spans="1:2" x14ac:dyDescent="0.3">
      <c r="A8" s="12" t="s">
        <v>130</v>
      </c>
      <c r="B8">
        <v>21.2</v>
      </c>
    </row>
    <row r="9" spans="1:2" x14ac:dyDescent="0.3">
      <c r="A9" s="12" t="s">
        <v>222</v>
      </c>
      <c r="B9">
        <v>28.55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A411B"/>
  </sheetPr>
  <dimension ref="A3:B7"/>
  <sheetViews>
    <sheetView workbookViewId="0">
      <selection activeCell="A4" sqref="A4:B6"/>
    </sheetView>
  </sheetViews>
  <sheetFormatPr defaultRowHeight="14.4" x14ac:dyDescent="0.3"/>
  <cols>
    <col min="1" max="1" width="13.109375" bestFit="1" customWidth="1"/>
    <col min="2" max="3" width="18.8867187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231</v>
      </c>
    </row>
    <row r="4" spans="1:2" x14ac:dyDescent="0.3">
      <c r="A4" s="12" t="s">
        <v>229</v>
      </c>
      <c r="B4">
        <v>62</v>
      </c>
    </row>
    <row r="5" spans="1:2" x14ac:dyDescent="0.3">
      <c r="A5" s="12" t="s">
        <v>230</v>
      </c>
      <c r="B5">
        <v>69</v>
      </c>
    </row>
    <row r="6" spans="1:2" x14ac:dyDescent="0.3">
      <c r="A6" s="12" t="s">
        <v>225</v>
      </c>
      <c r="B6">
        <v>69</v>
      </c>
    </row>
    <row r="7" spans="1:2" x14ac:dyDescent="0.3">
      <c r="A7" s="12" t="s">
        <v>222</v>
      </c>
      <c r="B7">
        <v>200</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7270F"/>
  </sheetPr>
  <dimension ref="A3:D9"/>
  <sheetViews>
    <sheetView workbookViewId="0">
      <selection activeCell="D19" sqref="D19"/>
    </sheetView>
  </sheetViews>
  <sheetFormatPr defaultRowHeight="14.4" x14ac:dyDescent="0.3"/>
  <cols>
    <col min="1" max="1" width="13.109375" bestFit="1" customWidth="1"/>
    <col min="2" max="3" width="11.5546875" bestFit="1" customWidth="1"/>
    <col min="4" max="4" width="15.88671875" bestFit="1" customWidth="1"/>
  </cols>
  <sheetData>
    <row r="3" spans="1:4" x14ac:dyDescent="0.3">
      <c r="A3" s="11" t="s">
        <v>221</v>
      </c>
      <c r="B3" t="s">
        <v>234</v>
      </c>
      <c r="C3" t="s">
        <v>232</v>
      </c>
      <c r="D3" t="s">
        <v>233</v>
      </c>
    </row>
    <row r="4" spans="1:4" x14ac:dyDescent="0.3">
      <c r="A4" s="12">
        <v>51.3</v>
      </c>
      <c r="B4">
        <v>12</v>
      </c>
      <c r="C4">
        <v>8.1999999999999993</v>
      </c>
      <c r="D4" s="13">
        <v>0.71</v>
      </c>
    </row>
    <row r="5" spans="1:4" x14ac:dyDescent="0.3">
      <c r="A5" s="12">
        <v>48.9</v>
      </c>
      <c r="B5">
        <v>10.9</v>
      </c>
      <c r="C5">
        <v>5.3</v>
      </c>
      <c r="D5" s="13">
        <v>0.877</v>
      </c>
    </row>
    <row r="6" spans="1:4" x14ac:dyDescent="0.3">
      <c r="A6" s="12">
        <v>48.6</v>
      </c>
      <c r="B6">
        <v>11.9</v>
      </c>
      <c r="C6">
        <v>8.4</v>
      </c>
      <c r="D6" s="13">
        <v>0.53900000000000003</v>
      </c>
    </row>
    <row r="7" spans="1:4" x14ac:dyDescent="0.3">
      <c r="A7" s="12">
        <v>47.9</v>
      </c>
      <c r="B7">
        <v>20.8</v>
      </c>
      <c r="C7">
        <v>13.8</v>
      </c>
      <c r="D7" s="13">
        <v>1.7709999999999999</v>
      </c>
    </row>
    <row r="8" spans="1:4" x14ac:dyDescent="0.3">
      <c r="A8" s="12">
        <v>46.7</v>
      </c>
      <c r="B8">
        <v>11.2</v>
      </c>
      <c r="C8">
        <v>6.7</v>
      </c>
      <c r="D8" s="13">
        <v>0.89900000000000002</v>
      </c>
    </row>
    <row r="9" spans="1:4" x14ac:dyDescent="0.3">
      <c r="A9" s="12" t="s">
        <v>222</v>
      </c>
      <c r="B9">
        <v>66.8</v>
      </c>
      <c r="C9">
        <v>42.400000000000006</v>
      </c>
      <c r="D9">
        <v>4.7959999999999994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7270F"/>
  </sheetPr>
  <dimension ref="A3:D9"/>
  <sheetViews>
    <sheetView workbookViewId="0">
      <selection activeCell="D19" sqref="D19"/>
    </sheetView>
  </sheetViews>
  <sheetFormatPr defaultRowHeight="14.4" x14ac:dyDescent="0.3"/>
  <cols>
    <col min="1" max="1" width="13.109375" bestFit="1" customWidth="1"/>
    <col min="2" max="3" width="11.5546875" bestFit="1" customWidth="1"/>
    <col min="4" max="4" width="15.88671875" bestFit="1" customWidth="1"/>
  </cols>
  <sheetData>
    <row r="3" spans="1:4" x14ac:dyDescent="0.3">
      <c r="A3" t="s">
        <v>221</v>
      </c>
      <c r="B3" t="s">
        <v>234</v>
      </c>
      <c r="C3" t="s">
        <v>232</v>
      </c>
      <c r="D3" t="s">
        <v>233</v>
      </c>
    </row>
    <row r="4" spans="1:4" x14ac:dyDescent="0.3">
      <c r="A4" s="12">
        <v>51.3</v>
      </c>
      <c r="B4">
        <v>12</v>
      </c>
      <c r="C4">
        <v>8.1999999999999993</v>
      </c>
      <c r="D4" s="13">
        <v>0.71</v>
      </c>
    </row>
    <row r="5" spans="1:4" x14ac:dyDescent="0.3">
      <c r="A5" s="12">
        <v>48.9</v>
      </c>
      <c r="B5">
        <v>10.9</v>
      </c>
      <c r="C5">
        <v>5.3</v>
      </c>
      <c r="D5" s="13">
        <v>0.877</v>
      </c>
    </row>
    <row r="6" spans="1:4" x14ac:dyDescent="0.3">
      <c r="A6" s="12">
        <v>48.6</v>
      </c>
      <c r="B6">
        <v>11.9</v>
      </c>
      <c r="C6">
        <v>8.4</v>
      </c>
      <c r="D6" s="13">
        <v>0.53900000000000003</v>
      </c>
    </row>
    <row r="7" spans="1:4" x14ac:dyDescent="0.3">
      <c r="A7" s="12">
        <v>47.9</v>
      </c>
      <c r="B7">
        <v>20.8</v>
      </c>
      <c r="C7">
        <v>13.8</v>
      </c>
      <c r="D7" s="13">
        <v>1.7709999999999999</v>
      </c>
    </row>
    <row r="8" spans="1:4" x14ac:dyDescent="0.3">
      <c r="A8" s="12">
        <v>46.7</v>
      </c>
      <c r="B8">
        <v>11.2</v>
      </c>
      <c r="C8">
        <v>6.7</v>
      </c>
      <c r="D8" s="13">
        <v>0.89900000000000002</v>
      </c>
    </row>
    <row r="9" spans="1:4" x14ac:dyDescent="0.3">
      <c r="A9" s="12" t="s">
        <v>222</v>
      </c>
      <c r="B9">
        <v>66.8</v>
      </c>
      <c r="C9">
        <v>42.400000000000006</v>
      </c>
      <c r="D9">
        <v>4.7959999999999994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zoomScale="95" zoomScaleNormal="95" workbookViewId="0">
      <selection activeCell="Q38" sqref="Q38"/>
    </sheetView>
  </sheetViews>
  <sheetFormatPr defaultColWidth="9.109375" defaultRowHeight="14.4" x14ac:dyDescent="0.3"/>
  <cols>
    <col min="1" max="16384" width="9.109375" style="10"/>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01"/>
  <sheetViews>
    <sheetView topLeftCell="H1" zoomScale="86" zoomScaleNormal="86" workbookViewId="0">
      <selection activeCell="N2" sqref="N2"/>
    </sheetView>
  </sheetViews>
  <sheetFormatPr defaultRowHeight="14.4" x14ac:dyDescent="0.3"/>
  <cols>
    <col min="1" max="1" width="12.6640625" customWidth="1"/>
    <col min="2" max="2" width="15.88671875" customWidth="1"/>
    <col min="3" max="3" width="14" customWidth="1"/>
    <col min="4" max="4" width="21" style="8" customWidth="1"/>
    <col min="5" max="5" width="21" style="14" customWidth="1"/>
    <col min="6" max="6" width="17.44140625" customWidth="1"/>
    <col min="7" max="7" width="13.6640625" customWidth="1"/>
    <col min="8" max="8" width="19.5546875" customWidth="1"/>
    <col min="9" max="10" width="22" style="8" customWidth="1"/>
    <col min="11" max="11" width="21.6640625" style="7" customWidth="1"/>
    <col min="12" max="12" width="26.109375" customWidth="1"/>
    <col min="13" max="13" width="22.33203125" style="9" customWidth="1"/>
    <col min="14" max="14" width="26" style="9" customWidth="1"/>
    <col min="15" max="15" width="22.33203125" style="9" customWidth="1"/>
    <col min="16" max="16" width="29.44140625" style="9" customWidth="1"/>
    <col min="17" max="17" width="6" customWidth="1"/>
    <col min="18" max="18" width="19.109375" customWidth="1"/>
    <col min="19" max="19" width="19.33203125" customWidth="1"/>
    <col min="20" max="20" width="17.6640625" customWidth="1"/>
    <col min="21" max="21" width="19" customWidth="1"/>
    <col min="22" max="22" width="20.6640625" customWidth="1"/>
    <col min="23" max="23" width="20.5546875" customWidth="1"/>
    <col min="24" max="24" width="25.5546875" customWidth="1"/>
    <col min="25" max="25" width="25.109375" customWidth="1"/>
  </cols>
  <sheetData>
    <row r="1" spans="1:25" x14ac:dyDescent="0.3">
      <c r="A1" t="s">
        <v>0</v>
      </c>
      <c r="B1" t="s">
        <v>1</v>
      </c>
      <c r="C1" t="s">
        <v>2</v>
      </c>
      <c r="D1" s="8" t="s">
        <v>3</v>
      </c>
      <c r="E1" s="14" t="s">
        <v>228</v>
      </c>
      <c r="F1" t="s">
        <v>4</v>
      </c>
      <c r="G1" t="s">
        <v>5</v>
      </c>
      <c r="H1" t="s">
        <v>206</v>
      </c>
      <c r="I1" s="8" t="s">
        <v>207</v>
      </c>
      <c r="J1" s="8" t="s">
        <v>209</v>
      </c>
      <c r="K1" s="7" t="s">
        <v>208</v>
      </c>
      <c r="L1" t="s">
        <v>210</v>
      </c>
      <c r="M1" s="9" t="s">
        <v>211</v>
      </c>
      <c r="N1" s="9" t="s">
        <v>216</v>
      </c>
      <c r="O1" s="9" t="s">
        <v>212</v>
      </c>
      <c r="P1" s="9" t="s">
        <v>213</v>
      </c>
      <c r="R1" t="s">
        <v>217</v>
      </c>
      <c r="S1" t="s">
        <v>218</v>
      </c>
      <c r="T1" t="s">
        <v>219</v>
      </c>
      <c r="U1" t="s">
        <v>223</v>
      </c>
      <c r="V1" t="s">
        <v>214</v>
      </c>
      <c r="W1" t="s">
        <v>215</v>
      </c>
      <c r="X1" t="s">
        <v>226</v>
      </c>
      <c r="Y1" t="s">
        <v>220</v>
      </c>
    </row>
    <row r="2" spans="1:25" x14ac:dyDescent="0.3">
      <c r="A2" t="s">
        <v>92</v>
      </c>
      <c r="B2">
        <v>12</v>
      </c>
      <c r="C2">
        <v>8.1999999999999993</v>
      </c>
      <c r="D2" s="8">
        <v>71</v>
      </c>
      <c r="E2" s="14">
        <f>(Table1[[#This Row],[attendance_percent]]/100)</f>
        <v>0.71</v>
      </c>
      <c r="F2">
        <v>95</v>
      </c>
      <c r="G2">
        <v>51.3</v>
      </c>
      <c r="H2">
        <f>ROUND(Table1[[#This Row],[exam_score]]/Table1[[#This Row],[hours_studied]], 2)</f>
        <v>4.28</v>
      </c>
      <c r="I2" s="8">
        <f>ROUND(Table1[[#This Row],[sleep_hours]]/Table1[[#This Row],[hours_studied]], 2)</f>
        <v>0.68</v>
      </c>
      <c r="J2" s="8">
        <f>Table1[[#This Row],[previous_scores]]+Table1[[#This Row],[exam_score]]</f>
        <v>146.30000000000001</v>
      </c>
      <c r="K2" s="7">
        <f t="shared" ref="K2:K33" si="0">(G2-F2)/F2</f>
        <v>-0.46</v>
      </c>
      <c r="L2" s="9">
        <f>Table1[[#This Row],[previous_scores]]/Table1[[#This Row],[Total Scores]]</f>
        <v>0.64935064935064934</v>
      </c>
      <c r="M2" s="9">
        <f>Table1[[#This Row],[exam_score]]/Table1[[#This Row],[Total Scores]]</f>
        <v>0.3506493506493506</v>
      </c>
      <c r="N2" s="9">
        <f>Table1[[#This Row],[exam_score]]/Table1[[#This Row],[hours_studied]]</f>
        <v>4.2749999999999995</v>
      </c>
      <c r="O2" s="9">
        <f>(Table1[[#This Row],[previous_scores]]*Table1[[#This Row],[Weight of Previous Scores]])+(Table1[[#This Row],[exam_score]]*Table1[[#This Row],[Weight of Exam Score]])</f>
        <v>79.676623376623368</v>
      </c>
      <c r="P2" s="9" t="str">
        <f>IF(Table1[[#This Row],[Weighted Average]]&gt;=63, "High", IF(Table1[[#This Row],[Weighted Average]]&gt;=48, "Average", "Low"))</f>
        <v>High</v>
      </c>
      <c r="R2" s="9">
        <f>SUM(B:B)</f>
        <v>1265.1000000000008</v>
      </c>
      <c r="S2" s="9">
        <f>SUM(G:G)</f>
        <v>6790.9999999999973</v>
      </c>
      <c r="T2" s="9">
        <f>AVERAGE(B:B)</f>
        <v>6.3255000000000043</v>
      </c>
      <c r="U2" s="9">
        <f>AVERAGE(C:C)</f>
        <v>6.6220000000000017</v>
      </c>
      <c r="V2" s="9">
        <f>MAX(G:G)</f>
        <v>51.3</v>
      </c>
      <c r="W2" s="9">
        <f>MIN(G:G)</f>
        <v>17.100000000000001</v>
      </c>
      <c r="X2" s="9">
        <f>S2/R2</f>
        <v>5.3679551023634442</v>
      </c>
      <c r="Y2" s="9">
        <f>AVERAGE(H:H)</f>
        <v>7.174699999999997</v>
      </c>
    </row>
    <row r="3" spans="1:25" x14ac:dyDescent="0.3">
      <c r="A3" t="s">
        <v>89</v>
      </c>
      <c r="B3">
        <v>10.9</v>
      </c>
      <c r="C3">
        <v>5.3</v>
      </c>
      <c r="D3" s="8">
        <v>87.7</v>
      </c>
      <c r="E3" s="14">
        <f>(Table1[[#This Row],[attendance_percent]]/100)</f>
        <v>0.877</v>
      </c>
      <c r="F3">
        <v>88</v>
      </c>
      <c r="G3">
        <v>48.9</v>
      </c>
      <c r="H3">
        <f>ROUND(Table1[[#This Row],[exam_score]]/Table1[[#This Row],[hours_studied]], 2)</f>
        <v>4.49</v>
      </c>
      <c r="I3" s="8">
        <f>ROUND(Table1[[#This Row],[sleep_hours]]/Table1[[#This Row],[hours_studied]], 2)</f>
        <v>0.49</v>
      </c>
      <c r="J3" s="8">
        <f>Table1[[#This Row],[previous_scores]]+Table1[[#This Row],[exam_score]]</f>
        <v>136.9</v>
      </c>
      <c r="K3" s="7">
        <f t="shared" si="0"/>
        <v>-0.44431818181818183</v>
      </c>
      <c r="L3" s="9">
        <f>Table1[[#This Row],[previous_scores]]/Table1[[#This Row],[Total Scores]]</f>
        <v>0.64280496712929147</v>
      </c>
      <c r="M3" s="9">
        <f>Table1[[#This Row],[exam_score]]/Table1[[#This Row],[Total Scores]]</f>
        <v>0.35719503287070853</v>
      </c>
      <c r="N3" s="9">
        <f>Table1[[#This Row],[exam_score]]/Table1[[#This Row],[hours_studied]]</f>
        <v>4.4862385321100913</v>
      </c>
      <c r="O3" s="9">
        <f>(Table1[[#This Row],[previous_scores]]*Table1[[#This Row],[Weight of Previous Scores]])+(Table1[[#This Row],[exam_score]]*Table1[[#This Row],[Weight of Exam Score]])</f>
        <v>74.033674214755294</v>
      </c>
      <c r="P3" s="9" t="str">
        <f>IF(Table1[[#This Row],[Weighted Average]]&gt;=63, "High", IF(Table1[[#This Row],[Weighted Average]]&gt;=48, "Average", "Low"))</f>
        <v>High</v>
      </c>
    </row>
    <row r="4" spans="1:25" x14ac:dyDescent="0.3">
      <c r="A4" t="s">
        <v>66</v>
      </c>
      <c r="B4">
        <v>11.9</v>
      </c>
      <c r="C4">
        <v>8.4</v>
      </c>
      <c r="D4" s="8">
        <v>53.9</v>
      </c>
      <c r="E4" s="14">
        <f>(Table1[[#This Row],[attendance_percent]]/100)</f>
        <v>0.53900000000000003</v>
      </c>
      <c r="F4">
        <v>78</v>
      </c>
      <c r="G4">
        <v>48.6</v>
      </c>
      <c r="H4">
        <f>ROUND(Table1[[#This Row],[exam_score]]/Table1[[#This Row],[hours_studied]], 2)</f>
        <v>4.08</v>
      </c>
      <c r="I4" s="8">
        <f>ROUND(Table1[[#This Row],[sleep_hours]]/Table1[[#This Row],[hours_studied]], 2)</f>
        <v>0.71</v>
      </c>
      <c r="J4" s="8">
        <f>Table1[[#This Row],[previous_scores]]+Table1[[#This Row],[exam_score]]</f>
        <v>126.6</v>
      </c>
      <c r="K4" s="7">
        <f t="shared" si="0"/>
        <v>-0.37692307692307692</v>
      </c>
      <c r="L4" s="9">
        <f>Table1[[#This Row],[previous_scores]]/Table1[[#This Row],[Total Scores]]</f>
        <v>0.61611374407582942</v>
      </c>
      <c r="M4" s="9">
        <f>Table1[[#This Row],[exam_score]]/Table1[[#This Row],[Total Scores]]</f>
        <v>0.38388625592417064</v>
      </c>
      <c r="N4" s="9">
        <f>Table1[[#This Row],[exam_score]]/Table1[[#This Row],[hours_studied]]</f>
        <v>4.0840336134453779</v>
      </c>
      <c r="O4" s="9">
        <f>(Table1[[#This Row],[previous_scores]]*Table1[[#This Row],[Weight of Previous Scores]])+(Table1[[#This Row],[exam_score]]*Table1[[#This Row],[Weight of Exam Score]])</f>
        <v>66.713744075829396</v>
      </c>
      <c r="P4" s="9" t="str">
        <f>IF(Table1[[#This Row],[Weighted Average]]&gt;=63, "High", IF(Table1[[#This Row],[Weighted Average]]&gt;=48, "Average", "Low"))</f>
        <v>High</v>
      </c>
    </row>
    <row r="5" spans="1:25" x14ac:dyDescent="0.3">
      <c r="A5" t="s">
        <v>77</v>
      </c>
      <c r="B5">
        <v>11.4</v>
      </c>
      <c r="C5">
        <v>5.5</v>
      </c>
      <c r="D5" s="8">
        <v>77.099999999999994</v>
      </c>
      <c r="E5" s="14">
        <f>(Table1[[#This Row],[attendance_percent]]/100)</f>
        <v>0.77099999999999991</v>
      </c>
      <c r="F5">
        <v>85</v>
      </c>
      <c r="G5">
        <v>47.9</v>
      </c>
      <c r="H5">
        <f>ROUND(Table1[[#This Row],[exam_score]]/Table1[[#This Row],[hours_studied]], 2)</f>
        <v>4.2</v>
      </c>
      <c r="I5" s="8">
        <f>ROUND(Table1[[#This Row],[sleep_hours]]/Table1[[#This Row],[hours_studied]], 2)</f>
        <v>0.48</v>
      </c>
      <c r="J5" s="8">
        <f>Table1[[#This Row],[previous_scores]]+Table1[[#This Row],[exam_score]]</f>
        <v>132.9</v>
      </c>
      <c r="K5" s="7">
        <f t="shared" si="0"/>
        <v>-0.43647058823529411</v>
      </c>
      <c r="L5" s="9">
        <f>Table1[[#This Row],[previous_scores]]/Table1[[#This Row],[Total Scores]]</f>
        <v>0.6395786305492851</v>
      </c>
      <c r="M5" s="9">
        <f>Table1[[#This Row],[exam_score]]/Table1[[#This Row],[Total Scores]]</f>
        <v>0.36042136945071479</v>
      </c>
      <c r="N5" s="9">
        <f>Table1[[#This Row],[exam_score]]/Table1[[#This Row],[hours_studied]]</f>
        <v>4.2017543859649118</v>
      </c>
      <c r="O5" s="9">
        <f>(Table1[[#This Row],[previous_scores]]*Table1[[#This Row],[Weight of Previous Scores]])+(Table1[[#This Row],[exam_score]]*Table1[[#This Row],[Weight of Exam Score]])</f>
        <v>71.628367193378466</v>
      </c>
      <c r="P5" s="9" t="str">
        <f>IF(Table1[[#This Row],[Weighted Average]]&gt;=63, "High", IF(Table1[[#This Row],[Weighted Average]]&gt;=48, "Average", "Low"))</f>
        <v>High</v>
      </c>
    </row>
    <row r="6" spans="1:25" x14ac:dyDescent="0.3">
      <c r="A6" t="s">
        <v>126</v>
      </c>
      <c r="B6">
        <v>9.4</v>
      </c>
      <c r="C6">
        <v>8.3000000000000007</v>
      </c>
      <c r="D6" s="8">
        <v>100</v>
      </c>
      <c r="E6" s="14">
        <f>(Table1[[#This Row],[attendance_percent]]/100)</f>
        <v>1</v>
      </c>
      <c r="F6">
        <v>78</v>
      </c>
      <c r="G6">
        <v>47.9</v>
      </c>
      <c r="H6">
        <f>ROUND(Table1[[#This Row],[exam_score]]/Table1[[#This Row],[hours_studied]], 2)</f>
        <v>5.0999999999999996</v>
      </c>
      <c r="I6" s="8">
        <f>ROUND(Table1[[#This Row],[sleep_hours]]/Table1[[#This Row],[hours_studied]], 2)</f>
        <v>0.88</v>
      </c>
      <c r="J6" s="8">
        <f>Table1[[#This Row],[previous_scores]]+Table1[[#This Row],[exam_score]]</f>
        <v>125.9</v>
      </c>
      <c r="K6" s="7">
        <f t="shared" si="0"/>
        <v>-0.38589743589743591</v>
      </c>
      <c r="L6" s="9">
        <f>Table1[[#This Row],[previous_scores]]/Table1[[#This Row],[Total Scores]]</f>
        <v>0.61953931691818898</v>
      </c>
      <c r="M6" s="9">
        <f>Table1[[#This Row],[exam_score]]/Table1[[#This Row],[Total Scores]]</f>
        <v>0.38046068308181091</v>
      </c>
      <c r="N6" s="9">
        <f>Table1[[#This Row],[exam_score]]/Table1[[#This Row],[hours_studied]]</f>
        <v>5.0957446808510634</v>
      </c>
      <c r="O6" s="9">
        <f>(Table1[[#This Row],[previous_scores]]*Table1[[#This Row],[Weight of Previous Scores]])+(Table1[[#This Row],[exam_score]]*Table1[[#This Row],[Weight of Exam Score]])</f>
        <v>66.548133439237489</v>
      </c>
      <c r="P6" s="9" t="str">
        <f>IF(Table1[[#This Row],[Weighted Average]]&gt;=63, "High", IF(Table1[[#This Row],[Weighted Average]]&gt;=48, "Average", "Low"))</f>
        <v>High</v>
      </c>
    </row>
    <row r="7" spans="1:25" x14ac:dyDescent="0.3">
      <c r="A7" t="s">
        <v>199</v>
      </c>
      <c r="B7">
        <v>11.2</v>
      </c>
      <c r="C7">
        <v>6.7</v>
      </c>
      <c r="D7" s="8">
        <v>89.9</v>
      </c>
      <c r="E7" s="14">
        <f>(Table1[[#This Row],[attendance_percent]]/100)</f>
        <v>0.89900000000000002</v>
      </c>
      <c r="F7">
        <v>59</v>
      </c>
      <c r="G7">
        <v>46.7</v>
      </c>
      <c r="H7">
        <f>ROUND(Table1[[#This Row],[exam_score]]/Table1[[#This Row],[hours_studied]], 2)</f>
        <v>4.17</v>
      </c>
      <c r="I7" s="8">
        <f>ROUND(Table1[[#This Row],[sleep_hours]]/Table1[[#This Row],[hours_studied]], 2)</f>
        <v>0.6</v>
      </c>
      <c r="J7" s="8">
        <f>Table1[[#This Row],[previous_scores]]+Table1[[#This Row],[exam_score]]</f>
        <v>105.7</v>
      </c>
      <c r="K7" s="7">
        <f t="shared" si="0"/>
        <v>-0.2084745762711864</v>
      </c>
      <c r="L7" s="9">
        <f>Table1[[#This Row],[previous_scores]]/Table1[[#This Row],[Total Scores]]</f>
        <v>0.55818353831598866</v>
      </c>
      <c r="M7" s="9">
        <f>Table1[[#This Row],[exam_score]]/Table1[[#This Row],[Total Scores]]</f>
        <v>0.44181646168401134</v>
      </c>
      <c r="N7" s="9">
        <f>Table1[[#This Row],[exam_score]]/Table1[[#This Row],[hours_studied]]</f>
        <v>4.1696428571428577</v>
      </c>
      <c r="O7" s="9">
        <f>(Table1[[#This Row],[previous_scores]]*Table1[[#This Row],[Weight of Previous Scores]])+(Table1[[#This Row],[exam_score]]*Table1[[#This Row],[Weight of Exam Score]])</f>
        <v>53.565657521286667</v>
      </c>
      <c r="P7" s="9" t="str">
        <f>IF(Table1[[#This Row],[Weighted Average]]&gt;=63, "High", IF(Table1[[#This Row],[Weighted Average]]&gt;=48, "Average", "Low"))</f>
        <v>Average</v>
      </c>
    </row>
    <row r="8" spans="1:25" x14ac:dyDescent="0.3">
      <c r="A8" t="s">
        <v>59</v>
      </c>
      <c r="B8">
        <v>11.3</v>
      </c>
      <c r="C8">
        <v>6.3</v>
      </c>
      <c r="D8" s="8">
        <v>63</v>
      </c>
      <c r="E8" s="14">
        <f>(Table1[[#This Row],[attendance_percent]]/100)</f>
        <v>0.63</v>
      </c>
      <c r="F8">
        <v>87</v>
      </c>
      <c r="G8">
        <v>46.4</v>
      </c>
      <c r="H8">
        <f>ROUND(Table1[[#This Row],[exam_score]]/Table1[[#This Row],[hours_studied]], 2)</f>
        <v>4.1100000000000003</v>
      </c>
      <c r="I8" s="8">
        <f>ROUND(Table1[[#This Row],[sleep_hours]]/Table1[[#This Row],[hours_studied]], 2)</f>
        <v>0.56000000000000005</v>
      </c>
      <c r="J8" s="8">
        <f>Table1[[#This Row],[previous_scores]]+Table1[[#This Row],[exam_score]]</f>
        <v>133.4</v>
      </c>
      <c r="K8" s="7">
        <f t="shared" si="0"/>
        <v>-0.46666666666666667</v>
      </c>
      <c r="L8" s="9">
        <f>Table1[[#This Row],[previous_scores]]/Table1[[#This Row],[Total Scores]]</f>
        <v>0.65217391304347827</v>
      </c>
      <c r="M8" s="9">
        <f>Table1[[#This Row],[exam_score]]/Table1[[#This Row],[Total Scores]]</f>
        <v>0.34782608695652173</v>
      </c>
      <c r="N8" s="9">
        <f>Table1[[#This Row],[exam_score]]/Table1[[#This Row],[hours_studied]]</f>
        <v>4.106194690265486</v>
      </c>
      <c r="O8" s="9">
        <f>(Table1[[#This Row],[previous_scores]]*Table1[[#This Row],[Weight of Previous Scores]])+(Table1[[#This Row],[exam_score]]*Table1[[#This Row],[Weight of Exam Score]])</f>
        <v>72.878260869565224</v>
      </c>
      <c r="P8" s="9" t="str">
        <f>IF(Table1[[#This Row],[Weighted Average]]&gt;=63, "High", IF(Table1[[#This Row],[Weighted Average]]&gt;=48, "Average", "Low"))</f>
        <v>High</v>
      </c>
    </row>
    <row r="9" spans="1:25" x14ac:dyDescent="0.3">
      <c r="A9" t="s">
        <v>121</v>
      </c>
      <c r="B9">
        <v>10.6</v>
      </c>
      <c r="C9">
        <v>8.4</v>
      </c>
      <c r="D9" s="8">
        <v>91.6</v>
      </c>
      <c r="E9" s="14">
        <f>(Table1[[#This Row],[attendance_percent]]/100)</f>
        <v>0.91599999999999993</v>
      </c>
      <c r="F9">
        <v>55</v>
      </c>
      <c r="G9">
        <v>46.4</v>
      </c>
      <c r="H9">
        <f>ROUND(Table1[[#This Row],[exam_score]]/Table1[[#This Row],[hours_studied]], 2)</f>
        <v>4.38</v>
      </c>
      <c r="I9" s="8">
        <f>ROUND(Table1[[#This Row],[sleep_hours]]/Table1[[#This Row],[hours_studied]], 2)</f>
        <v>0.79</v>
      </c>
      <c r="J9" s="8">
        <f>Table1[[#This Row],[previous_scores]]+Table1[[#This Row],[exam_score]]</f>
        <v>101.4</v>
      </c>
      <c r="K9" s="7">
        <f t="shared" si="0"/>
        <v>-0.1563636363636364</v>
      </c>
      <c r="L9" s="9">
        <f>Table1[[#This Row],[previous_scores]]/Table1[[#This Row],[Total Scores]]</f>
        <v>0.54240631163708086</v>
      </c>
      <c r="M9" s="9">
        <f>Table1[[#This Row],[exam_score]]/Table1[[#This Row],[Total Scores]]</f>
        <v>0.45759368836291908</v>
      </c>
      <c r="N9" s="9">
        <f>Table1[[#This Row],[exam_score]]/Table1[[#This Row],[hours_studied]]</f>
        <v>4.3773584905660377</v>
      </c>
      <c r="O9" s="9">
        <f>(Table1[[#This Row],[previous_scores]]*Table1[[#This Row],[Weight of Previous Scores]])+(Table1[[#This Row],[exam_score]]*Table1[[#This Row],[Weight of Exam Score]])</f>
        <v>51.064694280078896</v>
      </c>
      <c r="P9" s="9" t="str">
        <f>IF(Table1[[#This Row],[Weighted Average]]&gt;=63, "High", IF(Table1[[#This Row],[Weighted Average]]&gt;=48, "Average", "Low"))</f>
        <v>Average</v>
      </c>
    </row>
    <row r="10" spans="1:25" x14ac:dyDescent="0.3">
      <c r="A10" t="s">
        <v>26</v>
      </c>
      <c r="B10">
        <v>9.9</v>
      </c>
      <c r="C10">
        <v>8.8000000000000007</v>
      </c>
      <c r="D10" s="8">
        <v>70.7</v>
      </c>
      <c r="E10" s="14">
        <f>(Table1[[#This Row],[attendance_percent]]/100)</f>
        <v>0.70700000000000007</v>
      </c>
      <c r="F10">
        <v>84</v>
      </c>
      <c r="G10">
        <v>46</v>
      </c>
      <c r="H10">
        <f>ROUND(Table1[[#This Row],[exam_score]]/Table1[[#This Row],[hours_studied]], 2)</f>
        <v>4.6500000000000004</v>
      </c>
      <c r="I10" s="8">
        <f>ROUND(Table1[[#This Row],[sleep_hours]]/Table1[[#This Row],[hours_studied]], 2)</f>
        <v>0.89</v>
      </c>
      <c r="J10" s="8">
        <f>Table1[[#This Row],[previous_scores]]+Table1[[#This Row],[exam_score]]</f>
        <v>130</v>
      </c>
      <c r="K10" s="7">
        <f t="shared" si="0"/>
        <v>-0.45238095238095238</v>
      </c>
      <c r="L10" s="9">
        <f>Table1[[#This Row],[previous_scores]]/Table1[[#This Row],[Total Scores]]</f>
        <v>0.64615384615384619</v>
      </c>
      <c r="M10" s="9">
        <f>Table1[[#This Row],[exam_score]]/Table1[[#This Row],[Total Scores]]</f>
        <v>0.35384615384615387</v>
      </c>
      <c r="N10" s="9">
        <f>Table1[[#This Row],[exam_score]]/Table1[[#This Row],[hours_studied]]</f>
        <v>4.6464646464646462</v>
      </c>
      <c r="O10" s="9">
        <f>(Table1[[#This Row],[previous_scores]]*Table1[[#This Row],[Weight of Previous Scores]])+(Table1[[#This Row],[exam_score]]*Table1[[#This Row],[Weight of Exam Score]])</f>
        <v>70.553846153846166</v>
      </c>
      <c r="P10" s="9" t="str">
        <f>IF(Table1[[#This Row],[Weighted Average]]&gt;=63, "High", IF(Table1[[#This Row],[Weighted Average]]&gt;=48, "Average", "Low"))</f>
        <v>High</v>
      </c>
    </row>
    <row r="11" spans="1:25" x14ac:dyDescent="0.3">
      <c r="A11" t="s">
        <v>152</v>
      </c>
      <c r="B11">
        <v>6.9</v>
      </c>
      <c r="C11">
        <v>8.8000000000000007</v>
      </c>
      <c r="D11" s="8">
        <v>97.9</v>
      </c>
      <c r="E11" s="14">
        <f>(Table1[[#This Row],[attendance_percent]]/100)</f>
        <v>0.97900000000000009</v>
      </c>
      <c r="F11">
        <v>82</v>
      </c>
      <c r="G11">
        <v>45.8</v>
      </c>
      <c r="H11">
        <f>ROUND(Table1[[#This Row],[exam_score]]/Table1[[#This Row],[hours_studied]], 2)</f>
        <v>6.64</v>
      </c>
      <c r="I11" s="8">
        <f>ROUND(Table1[[#This Row],[sleep_hours]]/Table1[[#This Row],[hours_studied]], 2)</f>
        <v>1.28</v>
      </c>
      <c r="J11" s="8">
        <f>Table1[[#This Row],[previous_scores]]+Table1[[#This Row],[exam_score]]</f>
        <v>127.8</v>
      </c>
      <c r="K11" s="7">
        <f t="shared" si="0"/>
        <v>-0.4414634146341464</v>
      </c>
      <c r="L11" s="9">
        <f>Table1[[#This Row],[previous_scores]]/Table1[[#This Row],[Total Scores]]</f>
        <v>0.64162754303599379</v>
      </c>
      <c r="M11" s="9">
        <f>Table1[[#This Row],[exam_score]]/Table1[[#This Row],[Total Scores]]</f>
        <v>0.35837245696400627</v>
      </c>
      <c r="N11" s="9">
        <f>Table1[[#This Row],[exam_score]]/Table1[[#This Row],[hours_studied]]</f>
        <v>6.6376811594202891</v>
      </c>
      <c r="O11" s="9">
        <f>(Table1[[#This Row],[previous_scores]]*Table1[[#This Row],[Weight of Previous Scores]])+(Table1[[#This Row],[exam_score]]*Table1[[#This Row],[Weight of Exam Score]])</f>
        <v>69.026917057902978</v>
      </c>
      <c r="P11" s="9" t="str">
        <f>IF(Table1[[#This Row],[Weighted Average]]&gt;=63, "High", IF(Table1[[#This Row],[Weighted Average]]&gt;=48, "Average", "Low"))</f>
        <v>High</v>
      </c>
    </row>
    <row r="12" spans="1:25" x14ac:dyDescent="0.3">
      <c r="A12" t="s">
        <v>138</v>
      </c>
      <c r="B12">
        <v>10.7</v>
      </c>
      <c r="C12">
        <v>7.9</v>
      </c>
      <c r="D12" s="8">
        <v>78.2</v>
      </c>
      <c r="E12" s="14">
        <f>(Table1[[#This Row],[attendance_percent]]/100)</f>
        <v>0.78200000000000003</v>
      </c>
      <c r="F12">
        <v>77</v>
      </c>
      <c r="G12">
        <v>45.7</v>
      </c>
      <c r="H12">
        <f>ROUND(Table1[[#This Row],[exam_score]]/Table1[[#This Row],[hours_studied]], 2)</f>
        <v>4.2699999999999996</v>
      </c>
      <c r="I12" s="8">
        <f>ROUND(Table1[[#This Row],[sleep_hours]]/Table1[[#This Row],[hours_studied]], 2)</f>
        <v>0.74</v>
      </c>
      <c r="J12" s="8">
        <f>Table1[[#This Row],[previous_scores]]+Table1[[#This Row],[exam_score]]</f>
        <v>122.7</v>
      </c>
      <c r="K12" s="7">
        <f t="shared" si="0"/>
        <v>-0.40649350649350646</v>
      </c>
      <c r="L12" s="9">
        <f>Table1[[#This Row],[previous_scores]]/Table1[[#This Row],[Total Scores]]</f>
        <v>0.62754686226568868</v>
      </c>
      <c r="M12" s="9">
        <f>Table1[[#This Row],[exam_score]]/Table1[[#This Row],[Total Scores]]</f>
        <v>0.37245313773431132</v>
      </c>
      <c r="N12" s="9">
        <f>Table1[[#This Row],[exam_score]]/Table1[[#This Row],[hours_studied]]</f>
        <v>4.2710280373831777</v>
      </c>
      <c r="O12" s="9">
        <f>(Table1[[#This Row],[previous_scores]]*Table1[[#This Row],[Weight of Previous Scores]])+(Table1[[#This Row],[exam_score]]*Table1[[#This Row],[Weight of Exam Score]])</f>
        <v>65.342216788916062</v>
      </c>
      <c r="P12" s="9" t="str">
        <f>IF(Table1[[#This Row],[Weighted Average]]&gt;=63, "High", IF(Table1[[#This Row],[Weighted Average]]&gt;=48, "Average", "Low"))</f>
        <v>High</v>
      </c>
    </row>
    <row r="13" spans="1:25" x14ac:dyDescent="0.3">
      <c r="A13" t="s">
        <v>176</v>
      </c>
      <c r="B13">
        <v>11.3</v>
      </c>
      <c r="C13">
        <v>6.7</v>
      </c>
      <c r="D13" s="8">
        <v>85.4</v>
      </c>
      <c r="E13" s="14">
        <f>(Table1[[#This Row],[attendance_percent]]/100)</f>
        <v>0.85400000000000009</v>
      </c>
      <c r="F13">
        <v>83</v>
      </c>
      <c r="G13">
        <v>45.3</v>
      </c>
      <c r="H13">
        <f>ROUND(Table1[[#This Row],[exam_score]]/Table1[[#This Row],[hours_studied]], 2)</f>
        <v>4.01</v>
      </c>
      <c r="I13" s="8">
        <f>ROUND(Table1[[#This Row],[sleep_hours]]/Table1[[#This Row],[hours_studied]], 2)</f>
        <v>0.59</v>
      </c>
      <c r="J13" s="8">
        <f>Table1[[#This Row],[previous_scores]]+Table1[[#This Row],[exam_score]]</f>
        <v>128.30000000000001</v>
      </c>
      <c r="K13" s="7">
        <f t="shared" si="0"/>
        <v>-0.45421686746987955</v>
      </c>
      <c r="L13" s="9">
        <f>Table1[[#This Row],[previous_scores]]/Table1[[#This Row],[Total Scores]]</f>
        <v>0.64692127825409196</v>
      </c>
      <c r="M13" s="9">
        <f>Table1[[#This Row],[exam_score]]/Table1[[#This Row],[Total Scores]]</f>
        <v>0.35307872174590799</v>
      </c>
      <c r="N13" s="9">
        <f>Table1[[#This Row],[exam_score]]/Table1[[#This Row],[hours_studied]]</f>
        <v>4.0088495575221232</v>
      </c>
      <c r="O13" s="9">
        <f>(Table1[[#This Row],[previous_scores]]*Table1[[#This Row],[Weight of Previous Scores]])+(Table1[[#This Row],[exam_score]]*Table1[[#This Row],[Weight of Exam Score]])</f>
        <v>69.688932190179258</v>
      </c>
      <c r="P13" s="9" t="str">
        <f>IF(Table1[[#This Row],[Weighted Average]]&gt;=63, "High", IF(Table1[[#This Row],[Weighted Average]]&gt;=48, "Average", "Low"))</f>
        <v>High</v>
      </c>
    </row>
    <row r="14" spans="1:25" x14ac:dyDescent="0.3">
      <c r="A14" t="s">
        <v>180</v>
      </c>
      <c r="B14">
        <v>9.9</v>
      </c>
      <c r="C14">
        <v>5.8</v>
      </c>
      <c r="D14" s="8">
        <v>63.5</v>
      </c>
      <c r="E14" s="14">
        <f>(Table1[[#This Row],[attendance_percent]]/100)</f>
        <v>0.63500000000000001</v>
      </c>
      <c r="F14">
        <v>90</v>
      </c>
      <c r="G14">
        <v>44.8</v>
      </c>
      <c r="H14">
        <f>ROUND(Table1[[#This Row],[exam_score]]/Table1[[#This Row],[hours_studied]], 2)</f>
        <v>4.53</v>
      </c>
      <c r="I14" s="8">
        <f>ROUND(Table1[[#This Row],[sleep_hours]]/Table1[[#This Row],[hours_studied]], 2)</f>
        <v>0.59</v>
      </c>
      <c r="J14" s="8">
        <f>Table1[[#This Row],[previous_scores]]+Table1[[#This Row],[exam_score]]</f>
        <v>134.80000000000001</v>
      </c>
      <c r="K14" s="7">
        <f t="shared" si="0"/>
        <v>-0.50222222222222224</v>
      </c>
      <c r="L14" s="9">
        <f>Table1[[#This Row],[previous_scores]]/Table1[[#This Row],[Total Scores]]</f>
        <v>0.66765578635014833</v>
      </c>
      <c r="M14" s="9">
        <f>Table1[[#This Row],[exam_score]]/Table1[[#This Row],[Total Scores]]</f>
        <v>0.33234421364985156</v>
      </c>
      <c r="N14" s="9">
        <f>Table1[[#This Row],[exam_score]]/Table1[[#This Row],[hours_studied]]</f>
        <v>4.5252525252525251</v>
      </c>
      <c r="O14" s="9">
        <f>(Table1[[#This Row],[previous_scores]]*Table1[[#This Row],[Weight of Previous Scores]])+(Table1[[#This Row],[exam_score]]*Table1[[#This Row],[Weight of Exam Score]])</f>
        <v>74.978041543026691</v>
      </c>
      <c r="P14" s="9" t="str">
        <f>IF(Table1[[#This Row],[Weighted Average]]&gt;=63, "High", IF(Table1[[#This Row],[Weighted Average]]&gt;=48, "Average", "Low"))</f>
        <v>High</v>
      </c>
    </row>
    <row r="15" spans="1:25" x14ac:dyDescent="0.3">
      <c r="A15" t="s">
        <v>42</v>
      </c>
      <c r="B15">
        <v>10.1</v>
      </c>
      <c r="C15">
        <v>8.5</v>
      </c>
      <c r="D15" s="8">
        <v>62.5</v>
      </c>
      <c r="E15" s="14">
        <f>(Table1[[#This Row],[attendance_percent]]/100)</f>
        <v>0.625</v>
      </c>
      <c r="F15">
        <v>69</v>
      </c>
      <c r="G15">
        <v>44.7</v>
      </c>
      <c r="H15">
        <f>ROUND(Table1[[#This Row],[exam_score]]/Table1[[#This Row],[hours_studied]], 2)</f>
        <v>4.43</v>
      </c>
      <c r="I15" s="8">
        <f>ROUND(Table1[[#This Row],[sleep_hours]]/Table1[[#This Row],[hours_studied]], 2)</f>
        <v>0.84</v>
      </c>
      <c r="J15" s="8">
        <f>Table1[[#This Row],[previous_scores]]+Table1[[#This Row],[exam_score]]</f>
        <v>113.7</v>
      </c>
      <c r="K15" s="7">
        <f t="shared" si="0"/>
        <v>-0.35217391304347823</v>
      </c>
      <c r="L15" s="9">
        <f>Table1[[#This Row],[previous_scores]]/Table1[[#This Row],[Total Scores]]</f>
        <v>0.60686015831134565</v>
      </c>
      <c r="M15" s="9">
        <f>Table1[[#This Row],[exam_score]]/Table1[[#This Row],[Total Scores]]</f>
        <v>0.39313984168865435</v>
      </c>
      <c r="N15" s="9">
        <f>Table1[[#This Row],[exam_score]]/Table1[[#This Row],[hours_studied]]</f>
        <v>4.4257425742574261</v>
      </c>
      <c r="O15" s="9">
        <f>(Table1[[#This Row],[previous_scores]]*Table1[[#This Row],[Weight of Previous Scores]])+(Table1[[#This Row],[exam_score]]*Table1[[#This Row],[Weight of Exam Score]])</f>
        <v>59.446701846965702</v>
      </c>
      <c r="P15" s="9" t="str">
        <f>IF(Table1[[#This Row],[Weighted Average]]&gt;=63, "High", IF(Table1[[#This Row],[Weighted Average]]&gt;=48, "Average", "Low"))</f>
        <v>Average</v>
      </c>
    </row>
    <row r="16" spans="1:25" x14ac:dyDescent="0.3">
      <c r="A16" t="s">
        <v>128</v>
      </c>
      <c r="B16">
        <v>9.6</v>
      </c>
      <c r="C16">
        <v>8.1</v>
      </c>
      <c r="D16" s="8">
        <v>82.5</v>
      </c>
      <c r="E16" s="14">
        <f>(Table1[[#This Row],[attendance_percent]]/100)</f>
        <v>0.82499999999999996</v>
      </c>
      <c r="F16">
        <v>90</v>
      </c>
      <c r="G16">
        <v>44.1</v>
      </c>
      <c r="H16">
        <f>ROUND(Table1[[#This Row],[exam_score]]/Table1[[#This Row],[hours_studied]], 2)</f>
        <v>4.59</v>
      </c>
      <c r="I16" s="8">
        <f>ROUND(Table1[[#This Row],[sleep_hours]]/Table1[[#This Row],[hours_studied]], 2)</f>
        <v>0.84</v>
      </c>
      <c r="J16" s="8">
        <f>Table1[[#This Row],[previous_scores]]+Table1[[#This Row],[exam_score]]</f>
        <v>134.1</v>
      </c>
      <c r="K16" s="7">
        <f t="shared" si="0"/>
        <v>-0.51</v>
      </c>
      <c r="L16" s="9">
        <f>Table1[[#This Row],[previous_scores]]/Table1[[#This Row],[Total Scores]]</f>
        <v>0.67114093959731547</v>
      </c>
      <c r="M16" s="9">
        <f>Table1[[#This Row],[exam_score]]/Table1[[#This Row],[Total Scores]]</f>
        <v>0.32885906040268459</v>
      </c>
      <c r="N16" s="9">
        <f>Table1[[#This Row],[exam_score]]/Table1[[#This Row],[hours_studied]]</f>
        <v>4.59375</v>
      </c>
      <c r="O16" s="9">
        <f>(Table1[[#This Row],[previous_scores]]*Table1[[#This Row],[Weight of Previous Scores]])+(Table1[[#This Row],[exam_score]]*Table1[[#This Row],[Weight of Exam Score]])</f>
        <v>74.905369127516778</v>
      </c>
      <c r="P16" s="9" t="str">
        <f>IF(Table1[[#This Row],[Weighted Average]]&gt;=63, "High", IF(Table1[[#This Row],[Weighted Average]]&gt;=48, "Average", "Low"))</f>
        <v>High</v>
      </c>
    </row>
    <row r="17" spans="1:21" x14ac:dyDescent="0.3">
      <c r="A17" t="s">
        <v>156</v>
      </c>
      <c r="B17">
        <v>11.9</v>
      </c>
      <c r="C17">
        <v>8.9</v>
      </c>
      <c r="D17" s="8">
        <v>84.5</v>
      </c>
      <c r="E17" s="14">
        <f>(Table1[[#This Row],[attendance_percent]]/100)</f>
        <v>0.84499999999999997</v>
      </c>
      <c r="F17">
        <v>51</v>
      </c>
      <c r="G17">
        <v>44.1</v>
      </c>
      <c r="H17">
        <f>ROUND(Table1[[#This Row],[exam_score]]/Table1[[#This Row],[hours_studied]], 2)</f>
        <v>3.71</v>
      </c>
      <c r="I17" s="8">
        <f>ROUND(Table1[[#This Row],[sleep_hours]]/Table1[[#This Row],[hours_studied]], 2)</f>
        <v>0.75</v>
      </c>
      <c r="J17" s="8">
        <f>Table1[[#This Row],[previous_scores]]+Table1[[#This Row],[exam_score]]</f>
        <v>95.1</v>
      </c>
      <c r="K17" s="7">
        <f t="shared" si="0"/>
        <v>-0.13529411764705879</v>
      </c>
      <c r="L17" s="9">
        <f>Table1[[#This Row],[previous_scores]]/Table1[[#This Row],[Total Scores]]</f>
        <v>0.5362776025236593</v>
      </c>
      <c r="M17" s="9">
        <f>Table1[[#This Row],[exam_score]]/Table1[[#This Row],[Total Scores]]</f>
        <v>0.46372239747634075</v>
      </c>
      <c r="N17" s="9">
        <f>Table1[[#This Row],[exam_score]]/Table1[[#This Row],[hours_studied]]</f>
        <v>3.7058823529411766</v>
      </c>
      <c r="O17" s="9">
        <f>(Table1[[#This Row],[previous_scores]]*Table1[[#This Row],[Weight of Previous Scores]])+(Table1[[#This Row],[exam_score]]*Table1[[#This Row],[Weight of Exam Score]])</f>
        <v>47.800315457413248</v>
      </c>
      <c r="P17" s="9" t="str">
        <f>IF(Table1[[#This Row],[Weighted Average]]&gt;=63, "High", IF(Table1[[#This Row],[Weighted Average]]&gt;=48, "Average", "Low"))</f>
        <v>Low</v>
      </c>
    </row>
    <row r="18" spans="1:21" x14ac:dyDescent="0.3">
      <c r="A18" t="s">
        <v>188</v>
      </c>
      <c r="B18">
        <v>11.8</v>
      </c>
      <c r="C18">
        <v>5.5</v>
      </c>
      <c r="D18" s="8">
        <v>91.5</v>
      </c>
      <c r="E18" s="14">
        <f>(Table1[[#This Row],[attendance_percent]]/100)</f>
        <v>0.91500000000000004</v>
      </c>
      <c r="F18">
        <v>74</v>
      </c>
      <c r="G18">
        <v>44.1</v>
      </c>
      <c r="H18">
        <f>ROUND(Table1[[#This Row],[exam_score]]/Table1[[#This Row],[hours_studied]], 2)</f>
        <v>3.74</v>
      </c>
      <c r="I18" s="8">
        <f>ROUND(Table1[[#This Row],[sleep_hours]]/Table1[[#This Row],[hours_studied]], 2)</f>
        <v>0.47</v>
      </c>
      <c r="J18" s="8">
        <f>Table1[[#This Row],[previous_scores]]+Table1[[#This Row],[exam_score]]</f>
        <v>118.1</v>
      </c>
      <c r="K18" s="7">
        <f t="shared" si="0"/>
        <v>-0.40405405405405403</v>
      </c>
      <c r="L18" s="9">
        <f>Table1[[#This Row],[previous_scores]]/Table1[[#This Row],[Total Scores]]</f>
        <v>0.62658763759525826</v>
      </c>
      <c r="M18" s="9">
        <f>Table1[[#This Row],[exam_score]]/Table1[[#This Row],[Total Scores]]</f>
        <v>0.37341236240474179</v>
      </c>
      <c r="N18" s="9">
        <f>Table1[[#This Row],[exam_score]]/Table1[[#This Row],[hours_studied]]</f>
        <v>3.7372881355932202</v>
      </c>
      <c r="O18" s="9">
        <f>(Table1[[#This Row],[previous_scores]]*Table1[[#This Row],[Weight of Previous Scores]])+(Table1[[#This Row],[exam_score]]*Table1[[#This Row],[Weight of Exam Score]])</f>
        <v>62.834970364098226</v>
      </c>
      <c r="P18" s="9" t="str">
        <f>IF(Table1[[#This Row],[Weighted Average]]&gt;=63, "High", IF(Table1[[#This Row],[Weighted Average]]&gt;=48, "Average", "Low"))</f>
        <v>Average</v>
      </c>
    </row>
    <row r="19" spans="1:21" x14ac:dyDescent="0.3">
      <c r="A19" t="s">
        <v>147</v>
      </c>
      <c r="B19">
        <v>7</v>
      </c>
      <c r="C19">
        <v>5.0999999999999996</v>
      </c>
      <c r="D19" s="8">
        <v>98.2</v>
      </c>
      <c r="E19" s="14">
        <f>(Table1[[#This Row],[attendance_percent]]/100)</f>
        <v>0.98199999999999998</v>
      </c>
      <c r="F19">
        <v>88</v>
      </c>
      <c r="G19">
        <v>43.3</v>
      </c>
      <c r="H19">
        <f>ROUND(Table1[[#This Row],[exam_score]]/Table1[[#This Row],[hours_studied]], 2)</f>
        <v>6.19</v>
      </c>
      <c r="I19" s="8">
        <f>ROUND(Table1[[#This Row],[sleep_hours]]/Table1[[#This Row],[hours_studied]], 2)</f>
        <v>0.73</v>
      </c>
      <c r="J19" s="8">
        <f>Table1[[#This Row],[previous_scores]]+Table1[[#This Row],[exam_score]]</f>
        <v>131.30000000000001</v>
      </c>
      <c r="K19" s="7">
        <f t="shared" si="0"/>
        <v>-0.50795454545454544</v>
      </c>
      <c r="L19" s="9">
        <f>Table1[[#This Row],[previous_scores]]/Table1[[#This Row],[Total Scores]]</f>
        <v>0.67022086824067018</v>
      </c>
      <c r="M19" s="9">
        <f>Table1[[#This Row],[exam_score]]/Table1[[#This Row],[Total Scores]]</f>
        <v>0.32977913175932971</v>
      </c>
      <c r="N19" s="9">
        <f>Table1[[#This Row],[exam_score]]/Table1[[#This Row],[hours_studied]]</f>
        <v>6.1857142857142851</v>
      </c>
      <c r="O19" s="9">
        <f>(Table1[[#This Row],[previous_scores]]*Table1[[#This Row],[Weight of Previous Scores]])+(Table1[[#This Row],[exam_score]]*Table1[[#This Row],[Weight of Exam Score]])</f>
        <v>73.258872810357943</v>
      </c>
      <c r="P19" s="9" t="str">
        <f>IF(Table1[[#This Row],[Weighted Average]]&gt;=63, "High", IF(Table1[[#This Row],[Weighted Average]]&gt;=48, "Average", "Low"))</f>
        <v>High</v>
      </c>
    </row>
    <row r="20" spans="1:21" x14ac:dyDescent="0.3">
      <c r="A20" t="s">
        <v>120</v>
      </c>
      <c r="B20">
        <v>11</v>
      </c>
      <c r="C20">
        <v>7.9</v>
      </c>
      <c r="D20" s="8">
        <v>87.6</v>
      </c>
      <c r="E20" s="14">
        <f>(Table1[[#This Row],[attendance_percent]]/100)</f>
        <v>0.87599999999999989</v>
      </c>
      <c r="F20">
        <v>45</v>
      </c>
      <c r="G20">
        <v>43.1</v>
      </c>
      <c r="H20">
        <f>ROUND(Table1[[#This Row],[exam_score]]/Table1[[#This Row],[hours_studied]], 2)</f>
        <v>3.92</v>
      </c>
      <c r="I20" s="8">
        <f>ROUND(Table1[[#This Row],[sleep_hours]]/Table1[[#This Row],[hours_studied]], 2)</f>
        <v>0.72</v>
      </c>
      <c r="J20" s="8">
        <f>Table1[[#This Row],[previous_scores]]+Table1[[#This Row],[exam_score]]</f>
        <v>88.1</v>
      </c>
      <c r="K20" s="7">
        <f t="shared" si="0"/>
        <v>-4.2222222222222189E-2</v>
      </c>
      <c r="L20" s="9">
        <f>Table1[[#This Row],[previous_scores]]/Table1[[#This Row],[Total Scores]]</f>
        <v>0.51078320090805907</v>
      </c>
      <c r="M20" s="9">
        <f>Table1[[#This Row],[exam_score]]/Table1[[#This Row],[Total Scores]]</f>
        <v>0.48921679909194105</v>
      </c>
      <c r="N20" s="9">
        <f>Table1[[#This Row],[exam_score]]/Table1[[#This Row],[hours_studied]]</f>
        <v>3.9181818181818184</v>
      </c>
      <c r="O20" s="9">
        <f>(Table1[[#This Row],[previous_scores]]*Table1[[#This Row],[Weight of Previous Scores]])+(Table1[[#This Row],[exam_score]]*Table1[[#This Row],[Weight of Exam Score]])</f>
        <v>44.070488081725316</v>
      </c>
      <c r="P20" s="9" t="str">
        <f>IF(Table1[[#This Row],[Weighted Average]]&gt;=63, "High", IF(Table1[[#This Row],[Weighted Average]]&gt;=48, "Average", "Low"))</f>
        <v>Low</v>
      </c>
    </row>
    <row r="21" spans="1:21" x14ac:dyDescent="0.3">
      <c r="A21" t="s">
        <v>39</v>
      </c>
      <c r="B21">
        <v>11.7</v>
      </c>
      <c r="C21">
        <v>7.4</v>
      </c>
      <c r="D21" s="8">
        <v>97.9</v>
      </c>
      <c r="E21" s="14">
        <f>(Table1[[#This Row],[attendance_percent]]/100)</f>
        <v>0.97900000000000009</v>
      </c>
      <c r="F21">
        <v>61</v>
      </c>
      <c r="G21">
        <v>42.7</v>
      </c>
      <c r="H21">
        <f>ROUND(Table1[[#This Row],[exam_score]]/Table1[[#This Row],[hours_studied]], 2)</f>
        <v>3.65</v>
      </c>
      <c r="I21" s="8">
        <f>ROUND(Table1[[#This Row],[sleep_hours]]/Table1[[#This Row],[hours_studied]], 2)</f>
        <v>0.63</v>
      </c>
      <c r="J21" s="8">
        <f>Table1[[#This Row],[previous_scores]]+Table1[[#This Row],[exam_score]]</f>
        <v>103.7</v>
      </c>
      <c r="K21" s="7">
        <f t="shared" si="0"/>
        <v>-0.29999999999999993</v>
      </c>
      <c r="L21" s="9">
        <f>Table1[[#This Row],[previous_scores]]/Table1[[#This Row],[Total Scores]]</f>
        <v>0.58823529411764708</v>
      </c>
      <c r="M21" s="9">
        <f>Table1[[#This Row],[exam_score]]/Table1[[#This Row],[Total Scores]]</f>
        <v>0.41176470588235298</v>
      </c>
      <c r="N21" s="9">
        <f>Table1[[#This Row],[exam_score]]/Table1[[#This Row],[hours_studied]]</f>
        <v>3.6495726495726499</v>
      </c>
      <c r="O21" s="9">
        <f>(Table1[[#This Row],[previous_scores]]*Table1[[#This Row],[Weight of Previous Scores]])+(Table1[[#This Row],[exam_score]]*Table1[[#This Row],[Weight of Exam Score]])</f>
        <v>53.464705882352945</v>
      </c>
      <c r="P21" s="9" t="str">
        <f>IF(Table1[[#This Row],[Weighted Average]]&gt;=63, "High", IF(Table1[[#This Row],[Weighted Average]]&gt;=48, "Average", "Low"))</f>
        <v>Average</v>
      </c>
    </row>
    <row r="22" spans="1:21" x14ac:dyDescent="0.3">
      <c r="A22" t="s">
        <v>133</v>
      </c>
      <c r="B22">
        <v>11.2</v>
      </c>
      <c r="C22">
        <v>8.6999999999999993</v>
      </c>
      <c r="D22" s="8">
        <v>60</v>
      </c>
      <c r="E22" s="14">
        <f>(Table1[[#This Row],[attendance_percent]]/100)</f>
        <v>0.6</v>
      </c>
      <c r="F22">
        <v>64</v>
      </c>
      <c r="G22">
        <v>42.7</v>
      </c>
      <c r="H22">
        <f>ROUND(Table1[[#This Row],[exam_score]]/Table1[[#This Row],[hours_studied]], 2)</f>
        <v>3.81</v>
      </c>
      <c r="I22" s="8">
        <f>ROUND(Table1[[#This Row],[sleep_hours]]/Table1[[#This Row],[hours_studied]], 2)</f>
        <v>0.78</v>
      </c>
      <c r="J22" s="8">
        <f>Table1[[#This Row],[previous_scores]]+Table1[[#This Row],[exam_score]]</f>
        <v>106.7</v>
      </c>
      <c r="K22" s="7">
        <f t="shared" si="0"/>
        <v>-0.33281249999999996</v>
      </c>
      <c r="L22" s="9">
        <f>Table1[[#This Row],[previous_scores]]/Table1[[#This Row],[Total Scores]]</f>
        <v>0.59981255857544513</v>
      </c>
      <c r="M22" s="9">
        <f>Table1[[#This Row],[exam_score]]/Table1[[#This Row],[Total Scores]]</f>
        <v>0.40018744142455487</v>
      </c>
      <c r="N22" s="9">
        <f>Table1[[#This Row],[exam_score]]/Table1[[#This Row],[hours_studied]]</f>
        <v>3.8125000000000004</v>
      </c>
      <c r="O22" s="9">
        <f>(Table1[[#This Row],[previous_scores]]*Table1[[#This Row],[Weight of Previous Scores]])+(Table1[[#This Row],[exam_score]]*Table1[[#This Row],[Weight of Exam Score]])</f>
        <v>55.47600749765698</v>
      </c>
      <c r="P22" s="9" t="str">
        <f>IF(Table1[[#This Row],[Weighted Average]]&gt;=63, "High", IF(Table1[[#This Row],[Weighted Average]]&gt;=48, "Average", "Low"))</f>
        <v>Average</v>
      </c>
    </row>
    <row r="23" spans="1:21" x14ac:dyDescent="0.3">
      <c r="A23" t="s">
        <v>201</v>
      </c>
      <c r="B23">
        <v>10.5</v>
      </c>
      <c r="C23">
        <v>5.4</v>
      </c>
      <c r="D23" s="8">
        <v>94</v>
      </c>
      <c r="E23" s="14">
        <f>(Table1[[#This Row],[attendance_percent]]/100)</f>
        <v>0.94</v>
      </c>
      <c r="F23">
        <v>87</v>
      </c>
      <c r="G23">
        <v>42.7</v>
      </c>
      <c r="H23">
        <f>ROUND(Table1[[#This Row],[exam_score]]/Table1[[#This Row],[hours_studied]], 2)</f>
        <v>4.07</v>
      </c>
      <c r="I23" s="8">
        <f>ROUND(Table1[[#This Row],[sleep_hours]]/Table1[[#This Row],[hours_studied]], 2)</f>
        <v>0.51</v>
      </c>
      <c r="J23" s="8">
        <f>Table1[[#This Row],[previous_scores]]+Table1[[#This Row],[exam_score]]</f>
        <v>129.69999999999999</v>
      </c>
      <c r="K23" s="7">
        <f t="shared" si="0"/>
        <v>-0.50919540229885052</v>
      </c>
      <c r="L23" s="9">
        <f>Table1[[#This Row],[previous_scores]]/Table1[[#This Row],[Total Scores]]</f>
        <v>0.6707787201233617</v>
      </c>
      <c r="M23" s="9">
        <f>Table1[[#This Row],[exam_score]]/Table1[[#This Row],[Total Scores]]</f>
        <v>0.32922127987663846</v>
      </c>
      <c r="N23" s="9">
        <f>Table1[[#This Row],[exam_score]]/Table1[[#This Row],[hours_studied]]</f>
        <v>4.0666666666666673</v>
      </c>
      <c r="O23" s="9">
        <f>(Table1[[#This Row],[previous_scores]]*Table1[[#This Row],[Weight of Previous Scores]])+(Table1[[#This Row],[exam_score]]*Table1[[#This Row],[Weight of Exam Score]])</f>
        <v>72.415497301464939</v>
      </c>
      <c r="P23" s="9" t="str">
        <f>IF(Table1[[#This Row],[Weighted Average]]&gt;=63, "High", IF(Table1[[#This Row],[Weighted Average]]&gt;=48, "Average", "Low"))</f>
        <v>High</v>
      </c>
    </row>
    <row r="24" spans="1:21" x14ac:dyDescent="0.3">
      <c r="A24" t="s">
        <v>157</v>
      </c>
      <c r="B24">
        <v>8.1</v>
      </c>
      <c r="C24">
        <v>6.7</v>
      </c>
      <c r="D24" s="8">
        <v>81.400000000000006</v>
      </c>
      <c r="E24" s="14">
        <f>(Table1[[#This Row],[attendance_percent]]/100)</f>
        <v>0.81400000000000006</v>
      </c>
      <c r="F24">
        <v>75</v>
      </c>
      <c r="G24">
        <v>42.3</v>
      </c>
      <c r="H24">
        <f>ROUND(Table1[[#This Row],[exam_score]]/Table1[[#This Row],[hours_studied]], 2)</f>
        <v>5.22</v>
      </c>
      <c r="I24" s="8">
        <f>ROUND(Table1[[#This Row],[sleep_hours]]/Table1[[#This Row],[hours_studied]], 2)</f>
        <v>0.83</v>
      </c>
      <c r="J24" s="8">
        <f>Table1[[#This Row],[previous_scores]]+Table1[[#This Row],[exam_score]]</f>
        <v>117.3</v>
      </c>
      <c r="K24" s="7">
        <f t="shared" si="0"/>
        <v>-0.43600000000000005</v>
      </c>
      <c r="L24" s="9">
        <f>Table1[[#This Row],[previous_scores]]/Table1[[#This Row],[Total Scores]]</f>
        <v>0.63938618925831203</v>
      </c>
      <c r="M24" s="9">
        <f>Table1[[#This Row],[exam_score]]/Table1[[#This Row],[Total Scores]]</f>
        <v>0.36061381074168797</v>
      </c>
      <c r="N24" s="9">
        <f>Table1[[#This Row],[exam_score]]/Table1[[#This Row],[hours_studied]]</f>
        <v>5.2222222222222223</v>
      </c>
      <c r="O24" s="9">
        <f>(Table1[[#This Row],[previous_scores]]*Table1[[#This Row],[Weight of Previous Scores]])+(Table1[[#This Row],[exam_score]]*Table1[[#This Row],[Weight of Exam Score]])</f>
        <v>63.207928388746808</v>
      </c>
      <c r="P24" s="9" t="str">
        <f>IF(Table1[[#This Row],[Weighted Average]]&gt;=63, "High", IF(Table1[[#This Row],[Weighted Average]]&gt;=48, "Average", "Low"))</f>
        <v>High</v>
      </c>
    </row>
    <row r="25" spans="1:21" x14ac:dyDescent="0.3">
      <c r="A25" t="s">
        <v>115</v>
      </c>
      <c r="B25">
        <v>11.5</v>
      </c>
      <c r="C25">
        <v>8.3000000000000007</v>
      </c>
      <c r="D25" s="8">
        <v>69</v>
      </c>
      <c r="E25" s="14">
        <f>(Table1[[#This Row],[attendance_percent]]/100)</f>
        <v>0.69</v>
      </c>
      <c r="F25">
        <v>49</v>
      </c>
      <c r="G25">
        <v>42.2</v>
      </c>
      <c r="H25">
        <f>ROUND(Table1[[#This Row],[exam_score]]/Table1[[#This Row],[hours_studied]], 2)</f>
        <v>3.67</v>
      </c>
      <c r="I25" s="8">
        <f>ROUND(Table1[[#This Row],[sleep_hours]]/Table1[[#This Row],[hours_studied]], 2)</f>
        <v>0.72</v>
      </c>
      <c r="J25" s="8">
        <f>Table1[[#This Row],[previous_scores]]+Table1[[#This Row],[exam_score]]</f>
        <v>91.2</v>
      </c>
      <c r="K25" s="7">
        <f t="shared" si="0"/>
        <v>-0.13877551020408158</v>
      </c>
      <c r="L25" s="9">
        <f>Table1[[#This Row],[previous_scores]]/Table1[[#This Row],[Total Scores]]</f>
        <v>0.53728070175438591</v>
      </c>
      <c r="M25" s="9">
        <f>Table1[[#This Row],[exam_score]]/Table1[[#This Row],[Total Scores]]</f>
        <v>0.46271929824561403</v>
      </c>
      <c r="N25" s="9">
        <f>Table1[[#This Row],[exam_score]]/Table1[[#This Row],[hours_studied]]</f>
        <v>3.6695652173913045</v>
      </c>
      <c r="O25" s="9">
        <f>(Table1[[#This Row],[previous_scores]]*Table1[[#This Row],[Weight of Previous Scores]])+(Table1[[#This Row],[exam_score]]*Table1[[#This Row],[Weight of Exam Score]])</f>
        <v>45.853508771929825</v>
      </c>
      <c r="P25" s="9" t="str">
        <f>IF(Table1[[#This Row],[Weighted Average]]&gt;=63, "High", IF(Table1[[#This Row],[Weighted Average]]&gt;=48, "Average", "Low"))</f>
        <v>Low</v>
      </c>
    </row>
    <row r="26" spans="1:21" x14ac:dyDescent="0.3">
      <c r="A26" t="s">
        <v>173</v>
      </c>
      <c r="B26">
        <v>8.4</v>
      </c>
      <c r="C26">
        <v>7.5</v>
      </c>
      <c r="D26" s="8">
        <v>98</v>
      </c>
      <c r="E26" s="14">
        <f>(Table1[[#This Row],[attendance_percent]]/100)</f>
        <v>0.98</v>
      </c>
      <c r="F26">
        <v>95</v>
      </c>
      <c r="G26">
        <v>42</v>
      </c>
      <c r="H26">
        <f>ROUND(Table1[[#This Row],[exam_score]]/Table1[[#This Row],[hours_studied]], 2)</f>
        <v>5</v>
      </c>
      <c r="I26" s="8">
        <f>ROUND(Table1[[#This Row],[sleep_hours]]/Table1[[#This Row],[hours_studied]], 2)</f>
        <v>0.89</v>
      </c>
      <c r="J26" s="8">
        <f>Table1[[#This Row],[previous_scores]]+Table1[[#This Row],[exam_score]]</f>
        <v>137</v>
      </c>
      <c r="K26" s="7">
        <f t="shared" si="0"/>
        <v>-0.55789473684210522</v>
      </c>
      <c r="L26" s="9">
        <f>Table1[[#This Row],[previous_scores]]/Table1[[#This Row],[Total Scores]]</f>
        <v>0.69343065693430661</v>
      </c>
      <c r="M26" s="9">
        <f>Table1[[#This Row],[exam_score]]/Table1[[#This Row],[Total Scores]]</f>
        <v>0.30656934306569344</v>
      </c>
      <c r="N26" s="9">
        <f>Table1[[#This Row],[exam_score]]/Table1[[#This Row],[hours_studied]]</f>
        <v>5</v>
      </c>
      <c r="O26" s="9">
        <f>(Table1[[#This Row],[previous_scores]]*Table1[[#This Row],[Weight of Previous Scores]])+(Table1[[#This Row],[exam_score]]*Table1[[#This Row],[Weight of Exam Score]])</f>
        <v>78.751824817518255</v>
      </c>
      <c r="P26" s="9" t="str">
        <f>IF(Table1[[#This Row],[Weighted Average]]&gt;=63, "High", IF(Table1[[#This Row],[Weighted Average]]&gt;=48, "Average", "Low"))</f>
        <v>High</v>
      </c>
    </row>
    <row r="27" spans="1:21" x14ac:dyDescent="0.3">
      <c r="A27" t="s">
        <v>204</v>
      </c>
      <c r="B27">
        <v>12</v>
      </c>
      <c r="C27">
        <v>7.3</v>
      </c>
      <c r="D27" s="8">
        <v>50.5</v>
      </c>
      <c r="E27" s="14">
        <f>(Table1[[#This Row],[attendance_percent]]/100)</f>
        <v>0.505</v>
      </c>
      <c r="F27">
        <v>58</v>
      </c>
      <c r="G27">
        <v>42</v>
      </c>
      <c r="H27">
        <f>ROUND(Table1[[#This Row],[exam_score]]/Table1[[#This Row],[hours_studied]], 2)</f>
        <v>3.5</v>
      </c>
      <c r="I27" s="8">
        <f>ROUND(Table1[[#This Row],[sleep_hours]]/Table1[[#This Row],[hours_studied]], 2)</f>
        <v>0.61</v>
      </c>
      <c r="J27" s="8">
        <f>Table1[[#This Row],[previous_scores]]+Table1[[#This Row],[exam_score]]</f>
        <v>100</v>
      </c>
      <c r="K27" s="7">
        <f t="shared" si="0"/>
        <v>-0.27586206896551724</v>
      </c>
      <c r="L27" s="9">
        <f>Table1[[#This Row],[previous_scores]]/Table1[[#This Row],[Total Scores]]</f>
        <v>0.57999999999999996</v>
      </c>
      <c r="M27" s="9">
        <f>Table1[[#This Row],[exam_score]]/Table1[[#This Row],[Total Scores]]</f>
        <v>0.42</v>
      </c>
      <c r="N27" s="9">
        <f>Table1[[#This Row],[exam_score]]/Table1[[#This Row],[hours_studied]]</f>
        <v>3.5</v>
      </c>
      <c r="O27" s="9">
        <f>(Table1[[#This Row],[previous_scores]]*Table1[[#This Row],[Weight of Previous Scores]])+(Table1[[#This Row],[exam_score]]*Table1[[#This Row],[Weight of Exam Score]])</f>
        <v>51.28</v>
      </c>
      <c r="P27" s="9" t="str">
        <f>IF(Table1[[#This Row],[Weighted Average]]&gt;=63, "High", IF(Table1[[#This Row],[Weighted Average]]&gt;=48, "Average", "Low"))</f>
        <v>Average</v>
      </c>
    </row>
    <row r="28" spans="1:21" x14ac:dyDescent="0.3">
      <c r="A28" t="s">
        <v>78</v>
      </c>
      <c r="B28">
        <v>10.6</v>
      </c>
      <c r="C28">
        <v>7.3</v>
      </c>
      <c r="D28" s="8">
        <v>70.8</v>
      </c>
      <c r="E28" s="14">
        <f>(Table1[[#This Row],[attendance_percent]]/100)</f>
        <v>0.70799999999999996</v>
      </c>
      <c r="F28">
        <v>74</v>
      </c>
      <c r="G28">
        <v>41.9</v>
      </c>
      <c r="H28">
        <f>ROUND(Table1[[#This Row],[exam_score]]/Table1[[#This Row],[hours_studied]], 2)</f>
        <v>3.95</v>
      </c>
      <c r="I28" s="8">
        <f>ROUND(Table1[[#This Row],[sleep_hours]]/Table1[[#This Row],[hours_studied]], 2)</f>
        <v>0.69</v>
      </c>
      <c r="J28" s="8">
        <f>Table1[[#This Row],[previous_scores]]+Table1[[#This Row],[exam_score]]</f>
        <v>115.9</v>
      </c>
      <c r="K28" s="7">
        <f t="shared" si="0"/>
        <v>-0.43378378378378379</v>
      </c>
      <c r="L28" s="9">
        <f>Table1[[#This Row],[previous_scores]]/Table1[[#This Row],[Total Scores]]</f>
        <v>0.63848144952545294</v>
      </c>
      <c r="M28" s="9">
        <f>Table1[[#This Row],[exam_score]]/Table1[[#This Row],[Total Scores]]</f>
        <v>0.36151855047454701</v>
      </c>
      <c r="N28" s="9">
        <f>Table1[[#This Row],[exam_score]]/Table1[[#This Row],[hours_studied]]</f>
        <v>3.9528301886792452</v>
      </c>
      <c r="O28" s="9">
        <f>(Table1[[#This Row],[previous_scores]]*Table1[[#This Row],[Weight of Previous Scores]])+(Table1[[#This Row],[exam_score]]*Table1[[#This Row],[Weight of Exam Score]])</f>
        <v>62.395254529767037</v>
      </c>
      <c r="P28" s="9" t="str">
        <f>IF(Table1[[#This Row],[Weighted Average]]&gt;=63, "High", IF(Table1[[#This Row],[Weighted Average]]&gt;=48, "Average", "Low"))</f>
        <v>Average</v>
      </c>
    </row>
    <row r="29" spans="1:21" ht="19.2" x14ac:dyDescent="0.45">
      <c r="A29" t="s">
        <v>37</v>
      </c>
      <c r="B29">
        <v>9</v>
      </c>
      <c r="C29">
        <v>4.9000000000000004</v>
      </c>
      <c r="D29" s="8">
        <v>71.3</v>
      </c>
      <c r="E29" s="14">
        <f>(Table1[[#This Row],[attendance_percent]]/100)</f>
        <v>0.71299999999999997</v>
      </c>
      <c r="F29">
        <v>87</v>
      </c>
      <c r="G29">
        <v>41.6</v>
      </c>
      <c r="H29">
        <f>ROUND(Table1[[#This Row],[exam_score]]/Table1[[#This Row],[hours_studied]], 2)</f>
        <v>4.62</v>
      </c>
      <c r="I29" s="8">
        <f>ROUND(Table1[[#This Row],[sleep_hours]]/Table1[[#This Row],[hours_studied]], 2)</f>
        <v>0.54</v>
      </c>
      <c r="J29" s="8">
        <f>Table1[[#This Row],[previous_scores]]+Table1[[#This Row],[exam_score]]</f>
        <v>128.6</v>
      </c>
      <c r="K29" s="7">
        <f t="shared" si="0"/>
        <v>-0.52183908045977012</v>
      </c>
      <c r="L29" s="9">
        <f>Table1[[#This Row],[previous_scores]]/Table1[[#This Row],[Total Scores]]</f>
        <v>0.67651632970451014</v>
      </c>
      <c r="M29" s="9">
        <f>Table1[[#This Row],[exam_score]]/Table1[[#This Row],[Total Scores]]</f>
        <v>0.32348367029548991</v>
      </c>
      <c r="N29" s="9">
        <f>Table1[[#This Row],[exam_score]]/Table1[[#This Row],[hours_studied]]</f>
        <v>4.6222222222222227</v>
      </c>
      <c r="O29" s="9">
        <f>(Table1[[#This Row],[previous_scores]]*Table1[[#This Row],[Weight of Previous Scores]])+(Table1[[#This Row],[exam_score]]*Table1[[#This Row],[Weight of Exam Score]])</f>
        <v>72.313841368584761</v>
      </c>
      <c r="P29" s="9" t="str">
        <f>IF(Table1[[#This Row],[Weighted Average]]&gt;=63, "High", IF(Table1[[#This Row],[Weighted Average]]&gt;=48, "Average", "Low"))</f>
        <v>High</v>
      </c>
      <c r="U29" s="32" t="s">
        <v>235</v>
      </c>
    </row>
    <row r="30" spans="1:21" x14ac:dyDescent="0.3">
      <c r="A30" t="s">
        <v>54</v>
      </c>
      <c r="B30">
        <v>8</v>
      </c>
      <c r="C30">
        <v>7.4</v>
      </c>
      <c r="D30" s="8">
        <v>91.5</v>
      </c>
      <c r="E30" s="14">
        <f>(Table1[[#This Row],[attendance_percent]]/100)</f>
        <v>0.91500000000000004</v>
      </c>
      <c r="F30">
        <v>88</v>
      </c>
      <c r="G30">
        <v>41.2</v>
      </c>
      <c r="H30">
        <f>ROUND(Table1[[#This Row],[exam_score]]/Table1[[#This Row],[hours_studied]], 2)</f>
        <v>5.15</v>
      </c>
      <c r="I30" s="8">
        <f>ROUND(Table1[[#This Row],[sleep_hours]]/Table1[[#This Row],[hours_studied]], 2)</f>
        <v>0.93</v>
      </c>
      <c r="J30" s="8">
        <f>Table1[[#This Row],[previous_scores]]+Table1[[#This Row],[exam_score]]</f>
        <v>129.19999999999999</v>
      </c>
      <c r="K30" s="7">
        <f t="shared" si="0"/>
        <v>-0.53181818181818175</v>
      </c>
      <c r="L30" s="9">
        <f>Table1[[#This Row],[previous_scores]]/Table1[[#This Row],[Total Scores]]</f>
        <v>0.68111455108359142</v>
      </c>
      <c r="M30" s="9">
        <f>Table1[[#This Row],[exam_score]]/Table1[[#This Row],[Total Scores]]</f>
        <v>0.31888544891640874</v>
      </c>
      <c r="N30" s="9">
        <f>Table1[[#This Row],[exam_score]]/Table1[[#This Row],[hours_studied]]</f>
        <v>5.15</v>
      </c>
      <c r="O30" s="9">
        <f>(Table1[[#This Row],[previous_scores]]*Table1[[#This Row],[Weight of Previous Scores]])+(Table1[[#This Row],[exam_score]]*Table1[[#This Row],[Weight of Exam Score]])</f>
        <v>73.076160990712083</v>
      </c>
      <c r="P30" s="9" t="str">
        <f>IF(Table1[[#This Row],[Weighted Average]]&gt;=63, "High", IF(Table1[[#This Row],[Weighted Average]]&gt;=48, "Average", "Low"))</f>
        <v>High</v>
      </c>
    </row>
    <row r="31" spans="1:21" x14ac:dyDescent="0.3">
      <c r="A31" t="s">
        <v>20</v>
      </c>
      <c r="B31">
        <v>8.1</v>
      </c>
      <c r="C31">
        <v>8.8000000000000007</v>
      </c>
      <c r="D31" s="8">
        <v>60</v>
      </c>
      <c r="E31" s="14">
        <f>(Table1[[#This Row],[attendance_percent]]/100)</f>
        <v>0.6</v>
      </c>
      <c r="F31">
        <v>90</v>
      </c>
      <c r="G31">
        <v>41.1</v>
      </c>
      <c r="H31">
        <f>ROUND(Table1[[#This Row],[exam_score]]/Table1[[#This Row],[hours_studied]], 2)</f>
        <v>5.07</v>
      </c>
      <c r="I31" s="8">
        <f>ROUND(Table1[[#This Row],[sleep_hours]]/Table1[[#This Row],[hours_studied]], 2)</f>
        <v>1.0900000000000001</v>
      </c>
      <c r="J31" s="8">
        <f>Table1[[#This Row],[previous_scores]]+Table1[[#This Row],[exam_score]]</f>
        <v>131.1</v>
      </c>
      <c r="K31" s="7">
        <f t="shared" si="0"/>
        <v>-0.54333333333333333</v>
      </c>
      <c r="L31" s="9">
        <f>Table1[[#This Row],[previous_scores]]/Table1[[#This Row],[Total Scores]]</f>
        <v>0.68649885583524028</v>
      </c>
      <c r="M31" s="9">
        <f>Table1[[#This Row],[exam_score]]/Table1[[#This Row],[Total Scores]]</f>
        <v>0.31350114416475977</v>
      </c>
      <c r="N31" s="9">
        <f>Table1[[#This Row],[exam_score]]/Table1[[#This Row],[hours_studied]]</f>
        <v>5.0740740740740744</v>
      </c>
      <c r="O31" s="9">
        <f>(Table1[[#This Row],[previous_scores]]*Table1[[#This Row],[Weight of Previous Scores]])+(Table1[[#This Row],[exam_score]]*Table1[[#This Row],[Weight of Exam Score]])</f>
        <v>74.669794050343256</v>
      </c>
      <c r="P31" s="9" t="str">
        <f>IF(Table1[[#This Row],[Weighted Average]]&gt;=63, "High", IF(Table1[[#This Row],[Weighted Average]]&gt;=48, "Average", "Low"))</f>
        <v>High</v>
      </c>
    </row>
    <row r="32" spans="1:21" x14ac:dyDescent="0.3">
      <c r="A32" t="s">
        <v>141</v>
      </c>
      <c r="B32">
        <v>6.3</v>
      </c>
      <c r="C32">
        <v>8.3000000000000007</v>
      </c>
      <c r="D32" s="8">
        <v>88.3</v>
      </c>
      <c r="E32" s="14">
        <f>(Table1[[#This Row],[attendance_percent]]/100)</f>
        <v>0.88300000000000001</v>
      </c>
      <c r="F32">
        <v>76</v>
      </c>
      <c r="G32">
        <v>41.1</v>
      </c>
      <c r="H32">
        <f>ROUND(Table1[[#This Row],[exam_score]]/Table1[[#This Row],[hours_studied]], 2)</f>
        <v>6.52</v>
      </c>
      <c r="I32" s="8">
        <f>ROUND(Table1[[#This Row],[sleep_hours]]/Table1[[#This Row],[hours_studied]], 2)</f>
        <v>1.32</v>
      </c>
      <c r="J32" s="8">
        <f>Table1[[#This Row],[previous_scores]]+Table1[[#This Row],[exam_score]]</f>
        <v>117.1</v>
      </c>
      <c r="K32" s="7">
        <f t="shared" si="0"/>
        <v>-0.45921052631578946</v>
      </c>
      <c r="L32" s="9">
        <f>Table1[[#This Row],[previous_scores]]/Table1[[#This Row],[Total Scores]]</f>
        <v>0.64901793339026481</v>
      </c>
      <c r="M32" s="9">
        <f>Table1[[#This Row],[exam_score]]/Table1[[#This Row],[Total Scores]]</f>
        <v>0.3509820666097353</v>
      </c>
      <c r="N32" s="9">
        <f>Table1[[#This Row],[exam_score]]/Table1[[#This Row],[hours_studied]]</f>
        <v>6.5238095238095246</v>
      </c>
      <c r="O32" s="9">
        <f>(Table1[[#This Row],[previous_scores]]*Table1[[#This Row],[Weight of Previous Scores]])+(Table1[[#This Row],[exam_score]]*Table1[[#This Row],[Weight of Exam Score]])</f>
        <v>63.750725875320242</v>
      </c>
      <c r="P32" s="9" t="str">
        <f>IF(Table1[[#This Row],[Weighted Average]]&gt;=63, "High", IF(Table1[[#This Row],[Weighted Average]]&gt;=48, "Average", "Low"))</f>
        <v>High</v>
      </c>
    </row>
    <row r="33" spans="1:16" x14ac:dyDescent="0.3">
      <c r="A33" t="s">
        <v>127</v>
      </c>
      <c r="B33">
        <v>6.9</v>
      </c>
      <c r="C33">
        <v>8.9</v>
      </c>
      <c r="D33" s="8">
        <v>67.5</v>
      </c>
      <c r="E33" s="14">
        <f>(Table1[[#This Row],[attendance_percent]]/100)</f>
        <v>0.67500000000000004</v>
      </c>
      <c r="F33">
        <v>78</v>
      </c>
      <c r="G33">
        <v>40.9</v>
      </c>
      <c r="H33">
        <f>ROUND(Table1[[#This Row],[exam_score]]/Table1[[#This Row],[hours_studied]], 2)</f>
        <v>5.93</v>
      </c>
      <c r="I33" s="8">
        <f>ROUND(Table1[[#This Row],[sleep_hours]]/Table1[[#This Row],[hours_studied]], 2)</f>
        <v>1.29</v>
      </c>
      <c r="J33" s="8">
        <f>Table1[[#This Row],[previous_scores]]+Table1[[#This Row],[exam_score]]</f>
        <v>118.9</v>
      </c>
      <c r="K33" s="7">
        <f t="shared" si="0"/>
        <v>-0.47564102564102567</v>
      </c>
      <c r="L33" s="9">
        <f>Table1[[#This Row],[previous_scores]]/Table1[[#This Row],[Total Scores]]</f>
        <v>0.65601345668629096</v>
      </c>
      <c r="M33" s="9">
        <f>Table1[[#This Row],[exam_score]]/Table1[[#This Row],[Total Scores]]</f>
        <v>0.34398654331370898</v>
      </c>
      <c r="N33" s="9">
        <f>Table1[[#This Row],[exam_score]]/Table1[[#This Row],[hours_studied]]</f>
        <v>5.9275362318840576</v>
      </c>
      <c r="O33" s="9">
        <f>(Table1[[#This Row],[previous_scores]]*Table1[[#This Row],[Weight of Previous Scores]])+(Table1[[#This Row],[exam_score]]*Table1[[#This Row],[Weight of Exam Score]])</f>
        <v>65.238099243061399</v>
      </c>
      <c r="P33" s="9" t="str">
        <f>IF(Table1[[#This Row],[Weighted Average]]&gt;=63, "High", IF(Table1[[#This Row],[Weighted Average]]&gt;=48, "Average", "Low"))</f>
        <v>High</v>
      </c>
    </row>
    <row r="34" spans="1:16" x14ac:dyDescent="0.3">
      <c r="A34" t="s">
        <v>179</v>
      </c>
      <c r="B34">
        <v>9.6</v>
      </c>
      <c r="C34">
        <v>7.4</v>
      </c>
      <c r="D34" s="8">
        <v>98.3</v>
      </c>
      <c r="E34" s="14">
        <f>(Table1[[#This Row],[attendance_percent]]/100)</f>
        <v>0.98299999999999998</v>
      </c>
      <c r="F34">
        <v>90</v>
      </c>
      <c r="G34">
        <v>40.9</v>
      </c>
      <c r="H34">
        <f>ROUND(Table1[[#This Row],[exam_score]]/Table1[[#This Row],[hours_studied]], 2)</f>
        <v>4.26</v>
      </c>
      <c r="I34" s="8">
        <f>ROUND(Table1[[#This Row],[sleep_hours]]/Table1[[#This Row],[hours_studied]], 2)</f>
        <v>0.77</v>
      </c>
      <c r="J34" s="8">
        <f>Table1[[#This Row],[previous_scores]]+Table1[[#This Row],[exam_score]]</f>
        <v>130.9</v>
      </c>
      <c r="K34" s="7">
        <f t="shared" ref="K34:K65" si="1">(G34-F34)/F34</f>
        <v>-0.54555555555555557</v>
      </c>
      <c r="L34" s="9">
        <f>Table1[[#This Row],[previous_scores]]/Table1[[#This Row],[Total Scores]]</f>
        <v>0.6875477463712758</v>
      </c>
      <c r="M34" s="9">
        <f>Table1[[#This Row],[exam_score]]/Table1[[#This Row],[Total Scores]]</f>
        <v>0.3124522536287242</v>
      </c>
      <c r="N34" s="9">
        <f>Table1[[#This Row],[exam_score]]/Table1[[#This Row],[hours_studied]]</f>
        <v>4.260416666666667</v>
      </c>
      <c r="O34" s="9">
        <f>(Table1[[#This Row],[previous_scores]]*Table1[[#This Row],[Weight of Previous Scores]])+(Table1[[#This Row],[exam_score]]*Table1[[#This Row],[Weight of Exam Score]])</f>
        <v>74.658594346829645</v>
      </c>
      <c r="P34" s="9" t="str">
        <f>IF(Table1[[#This Row],[Weighted Average]]&gt;=63, "High", IF(Table1[[#This Row],[Weighted Average]]&gt;=48, "Average", "Low"))</f>
        <v>High</v>
      </c>
    </row>
    <row r="35" spans="1:16" x14ac:dyDescent="0.3">
      <c r="A35" t="s">
        <v>139</v>
      </c>
      <c r="B35">
        <v>11.4</v>
      </c>
      <c r="C35">
        <v>4.5</v>
      </c>
      <c r="D35" s="8">
        <v>60.9</v>
      </c>
      <c r="E35" s="14">
        <f>(Table1[[#This Row],[attendance_percent]]/100)</f>
        <v>0.60899999999999999</v>
      </c>
      <c r="F35">
        <v>67</v>
      </c>
      <c r="G35">
        <v>40.799999999999997</v>
      </c>
      <c r="H35">
        <f>ROUND(Table1[[#This Row],[exam_score]]/Table1[[#This Row],[hours_studied]], 2)</f>
        <v>3.58</v>
      </c>
      <c r="I35" s="8">
        <f>ROUND(Table1[[#This Row],[sleep_hours]]/Table1[[#This Row],[hours_studied]], 2)</f>
        <v>0.39</v>
      </c>
      <c r="J35" s="8">
        <f>Table1[[#This Row],[previous_scores]]+Table1[[#This Row],[exam_score]]</f>
        <v>107.8</v>
      </c>
      <c r="K35" s="7">
        <f t="shared" si="1"/>
        <v>-0.39104477611940303</v>
      </c>
      <c r="L35" s="9">
        <f>Table1[[#This Row],[previous_scores]]/Table1[[#This Row],[Total Scores]]</f>
        <v>0.62152133580705016</v>
      </c>
      <c r="M35" s="9">
        <f>Table1[[#This Row],[exam_score]]/Table1[[#This Row],[Total Scores]]</f>
        <v>0.3784786641929499</v>
      </c>
      <c r="N35" s="9">
        <f>Table1[[#This Row],[exam_score]]/Table1[[#This Row],[hours_studied]]</f>
        <v>3.5789473684210522</v>
      </c>
      <c r="O35" s="9">
        <f>(Table1[[#This Row],[previous_scores]]*Table1[[#This Row],[Weight of Previous Scores]])+(Table1[[#This Row],[exam_score]]*Table1[[#This Row],[Weight of Exam Score]])</f>
        <v>57.08385899814472</v>
      </c>
      <c r="P35" s="9" t="str">
        <f>IF(Table1[[#This Row],[Weighted Average]]&gt;=63, "High", IF(Table1[[#This Row],[Weighted Average]]&gt;=48, "Average", "Low"))</f>
        <v>Average</v>
      </c>
    </row>
    <row r="36" spans="1:16" x14ac:dyDescent="0.3">
      <c r="A36" t="s">
        <v>170</v>
      </c>
      <c r="B36">
        <v>10.5</v>
      </c>
      <c r="C36">
        <v>5.9</v>
      </c>
      <c r="D36" s="8">
        <v>92.5</v>
      </c>
      <c r="E36" s="14">
        <f>(Table1[[#This Row],[attendance_percent]]/100)</f>
        <v>0.92500000000000004</v>
      </c>
      <c r="F36">
        <v>85</v>
      </c>
      <c r="G36">
        <v>40.6</v>
      </c>
      <c r="H36">
        <f>ROUND(Table1[[#This Row],[exam_score]]/Table1[[#This Row],[hours_studied]], 2)</f>
        <v>3.87</v>
      </c>
      <c r="I36" s="8">
        <f>ROUND(Table1[[#This Row],[sleep_hours]]/Table1[[#This Row],[hours_studied]], 2)</f>
        <v>0.56000000000000005</v>
      </c>
      <c r="J36" s="8">
        <f>Table1[[#This Row],[previous_scores]]+Table1[[#This Row],[exam_score]]</f>
        <v>125.6</v>
      </c>
      <c r="K36" s="7">
        <f t="shared" si="1"/>
        <v>-0.52235294117647058</v>
      </c>
      <c r="L36" s="9">
        <f>Table1[[#This Row],[previous_scores]]/Table1[[#This Row],[Total Scores]]</f>
        <v>0.67675159235668791</v>
      </c>
      <c r="M36" s="9">
        <f>Table1[[#This Row],[exam_score]]/Table1[[#This Row],[Total Scores]]</f>
        <v>0.32324840764331214</v>
      </c>
      <c r="N36" s="9">
        <f>Table1[[#This Row],[exam_score]]/Table1[[#This Row],[hours_studied]]</f>
        <v>3.8666666666666667</v>
      </c>
      <c r="O36" s="9">
        <f>(Table1[[#This Row],[previous_scores]]*Table1[[#This Row],[Weight of Previous Scores]])+(Table1[[#This Row],[exam_score]]*Table1[[#This Row],[Weight of Exam Score]])</f>
        <v>70.647770700636954</v>
      </c>
      <c r="P36" s="9" t="str">
        <f>IF(Table1[[#This Row],[Weighted Average]]&gt;=63, "High", IF(Table1[[#This Row],[Weighted Average]]&gt;=48, "Average", "Low"))</f>
        <v>High</v>
      </c>
    </row>
    <row r="37" spans="1:16" x14ac:dyDescent="0.3">
      <c r="A37" t="s">
        <v>202</v>
      </c>
      <c r="B37">
        <v>7.1</v>
      </c>
      <c r="C37">
        <v>6.1</v>
      </c>
      <c r="D37" s="8">
        <v>85.1</v>
      </c>
      <c r="E37" s="14">
        <f>(Table1[[#This Row],[attendance_percent]]/100)</f>
        <v>0.85099999999999998</v>
      </c>
      <c r="F37">
        <v>92</v>
      </c>
      <c r="G37">
        <v>40.4</v>
      </c>
      <c r="H37">
        <f>ROUND(Table1[[#This Row],[exam_score]]/Table1[[#This Row],[hours_studied]], 2)</f>
        <v>5.69</v>
      </c>
      <c r="I37" s="8">
        <f>ROUND(Table1[[#This Row],[sleep_hours]]/Table1[[#This Row],[hours_studied]], 2)</f>
        <v>0.86</v>
      </c>
      <c r="J37" s="8">
        <f>Table1[[#This Row],[previous_scores]]+Table1[[#This Row],[exam_score]]</f>
        <v>132.4</v>
      </c>
      <c r="K37" s="7">
        <f t="shared" si="1"/>
        <v>-0.56086956521739129</v>
      </c>
      <c r="L37" s="9">
        <f>Table1[[#This Row],[previous_scores]]/Table1[[#This Row],[Total Scores]]</f>
        <v>0.69486404833836857</v>
      </c>
      <c r="M37" s="9">
        <f>Table1[[#This Row],[exam_score]]/Table1[[#This Row],[Total Scores]]</f>
        <v>0.30513595166163138</v>
      </c>
      <c r="N37" s="9">
        <f>Table1[[#This Row],[exam_score]]/Table1[[#This Row],[hours_studied]]</f>
        <v>5.6901408450704229</v>
      </c>
      <c r="O37" s="9">
        <f>(Table1[[#This Row],[previous_scores]]*Table1[[#This Row],[Weight of Previous Scores]])+(Table1[[#This Row],[exam_score]]*Table1[[#This Row],[Weight of Exam Score]])</f>
        <v>76.25498489425982</v>
      </c>
      <c r="P37" s="9" t="str">
        <f>IF(Table1[[#This Row],[Weighted Average]]&gt;=63, "High", IF(Table1[[#This Row],[Weighted Average]]&gt;=48, "Average", "Low"))</f>
        <v>High</v>
      </c>
    </row>
    <row r="38" spans="1:16" x14ac:dyDescent="0.3">
      <c r="A38" t="s">
        <v>10</v>
      </c>
      <c r="B38">
        <v>9.1</v>
      </c>
      <c r="C38">
        <v>6.4</v>
      </c>
      <c r="D38" s="8">
        <v>89.8</v>
      </c>
      <c r="E38" s="14">
        <f>(Table1[[#This Row],[attendance_percent]]/100)</f>
        <v>0.89800000000000002</v>
      </c>
      <c r="F38">
        <v>71</v>
      </c>
      <c r="G38">
        <v>40.299999999999997</v>
      </c>
      <c r="H38">
        <f>ROUND(Table1[[#This Row],[exam_score]]/Table1[[#This Row],[hours_studied]], 2)</f>
        <v>4.43</v>
      </c>
      <c r="I38" s="8">
        <f>ROUND(Table1[[#This Row],[sleep_hours]]/Table1[[#This Row],[hours_studied]], 2)</f>
        <v>0.7</v>
      </c>
      <c r="J38" s="8">
        <f>Table1[[#This Row],[previous_scores]]+Table1[[#This Row],[exam_score]]</f>
        <v>111.3</v>
      </c>
      <c r="K38" s="7">
        <f t="shared" si="1"/>
        <v>-0.43239436619718313</v>
      </c>
      <c r="L38" s="9">
        <f>Table1[[#This Row],[previous_scores]]/Table1[[#This Row],[Total Scores]]</f>
        <v>0.63791554357592095</v>
      </c>
      <c r="M38" s="9">
        <f>Table1[[#This Row],[exam_score]]/Table1[[#This Row],[Total Scores]]</f>
        <v>0.36208445642407905</v>
      </c>
      <c r="N38" s="9">
        <f>Table1[[#This Row],[exam_score]]/Table1[[#This Row],[hours_studied]]</f>
        <v>4.4285714285714288</v>
      </c>
      <c r="O38" s="9">
        <f>(Table1[[#This Row],[previous_scores]]*Table1[[#This Row],[Weight of Previous Scores]])+(Table1[[#This Row],[exam_score]]*Table1[[#This Row],[Weight of Exam Score]])</f>
        <v>59.884007187780767</v>
      </c>
      <c r="P38" s="9" t="str">
        <f>IF(Table1[[#This Row],[Weighted Average]]&gt;=63, "High", IF(Table1[[#This Row],[Weighted Average]]&gt;=48, "Average", "Low"))</f>
        <v>Average</v>
      </c>
    </row>
    <row r="39" spans="1:16" x14ac:dyDescent="0.3">
      <c r="A39" t="s">
        <v>83</v>
      </c>
      <c r="B39">
        <v>6</v>
      </c>
      <c r="C39">
        <v>6.8</v>
      </c>
      <c r="D39" s="8">
        <v>84.8</v>
      </c>
      <c r="E39" s="14">
        <f>(Table1[[#This Row],[attendance_percent]]/100)</f>
        <v>0.84799999999999998</v>
      </c>
      <c r="F39">
        <v>75</v>
      </c>
      <c r="G39">
        <v>40.299999999999997</v>
      </c>
      <c r="H39">
        <f>ROUND(Table1[[#This Row],[exam_score]]/Table1[[#This Row],[hours_studied]], 2)</f>
        <v>6.72</v>
      </c>
      <c r="I39" s="8">
        <f>ROUND(Table1[[#This Row],[sleep_hours]]/Table1[[#This Row],[hours_studied]], 2)</f>
        <v>1.1299999999999999</v>
      </c>
      <c r="J39" s="8">
        <f>Table1[[#This Row],[previous_scores]]+Table1[[#This Row],[exam_score]]</f>
        <v>115.3</v>
      </c>
      <c r="K39" s="7">
        <f t="shared" si="1"/>
        <v>-0.46266666666666673</v>
      </c>
      <c r="L39" s="9">
        <f>Table1[[#This Row],[previous_scores]]/Table1[[#This Row],[Total Scores]]</f>
        <v>0.65047701647875111</v>
      </c>
      <c r="M39" s="9">
        <f>Table1[[#This Row],[exam_score]]/Table1[[#This Row],[Total Scores]]</f>
        <v>0.34952298352124889</v>
      </c>
      <c r="N39" s="9">
        <f>Table1[[#This Row],[exam_score]]/Table1[[#This Row],[hours_studied]]</f>
        <v>6.7166666666666659</v>
      </c>
      <c r="O39" s="9">
        <f>(Table1[[#This Row],[previous_scores]]*Table1[[#This Row],[Weight of Previous Scores]])+(Table1[[#This Row],[exam_score]]*Table1[[#This Row],[Weight of Exam Score]])</f>
        <v>62.871552471812663</v>
      </c>
      <c r="P39" s="9" t="str">
        <f>IF(Table1[[#This Row],[Weighted Average]]&gt;=63, "High", IF(Table1[[#This Row],[Weighted Average]]&gt;=48, "Average", "Low"))</f>
        <v>Average</v>
      </c>
    </row>
    <row r="40" spans="1:16" x14ac:dyDescent="0.3">
      <c r="A40" t="s">
        <v>82</v>
      </c>
      <c r="B40">
        <v>11.1</v>
      </c>
      <c r="C40">
        <v>4.5</v>
      </c>
      <c r="D40" s="8">
        <v>79.2</v>
      </c>
      <c r="E40" s="14">
        <f>(Table1[[#This Row],[attendance_percent]]/100)</f>
        <v>0.79200000000000004</v>
      </c>
      <c r="F40">
        <v>43</v>
      </c>
      <c r="G40">
        <v>39.9</v>
      </c>
      <c r="H40">
        <f>ROUND(Table1[[#This Row],[exam_score]]/Table1[[#This Row],[hours_studied]], 2)</f>
        <v>3.59</v>
      </c>
      <c r="I40" s="8">
        <f>ROUND(Table1[[#This Row],[sleep_hours]]/Table1[[#This Row],[hours_studied]], 2)</f>
        <v>0.41</v>
      </c>
      <c r="J40" s="8">
        <f>Table1[[#This Row],[previous_scores]]+Table1[[#This Row],[exam_score]]</f>
        <v>82.9</v>
      </c>
      <c r="K40" s="7">
        <f t="shared" si="1"/>
        <v>-7.2093023255813987E-2</v>
      </c>
      <c r="L40" s="9">
        <f>Table1[[#This Row],[previous_scores]]/Table1[[#This Row],[Total Scores]]</f>
        <v>0.51869722557297948</v>
      </c>
      <c r="M40" s="9">
        <f>Table1[[#This Row],[exam_score]]/Table1[[#This Row],[Total Scores]]</f>
        <v>0.48130277442702046</v>
      </c>
      <c r="N40" s="9">
        <f>Table1[[#This Row],[exam_score]]/Table1[[#This Row],[hours_studied]]</f>
        <v>3.5945945945945947</v>
      </c>
      <c r="O40" s="9">
        <f>(Table1[[#This Row],[previous_scores]]*Table1[[#This Row],[Weight of Previous Scores]])+(Table1[[#This Row],[exam_score]]*Table1[[#This Row],[Weight of Exam Score]])</f>
        <v>41.507961399276233</v>
      </c>
      <c r="P40" s="9" t="str">
        <f>IF(Table1[[#This Row],[Weighted Average]]&gt;=63, "High", IF(Table1[[#This Row],[Weighted Average]]&gt;=48, "Average", "Low"))</f>
        <v>Low</v>
      </c>
    </row>
    <row r="41" spans="1:16" x14ac:dyDescent="0.3">
      <c r="A41" t="s">
        <v>104</v>
      </c>
      <c r="B41">
        <v>11.7</v>
      </c>
      <c r="C41">
        <v>4.4000000000000004</v>
      </c>
      <c r="D41" s="8">
        <v>73.400000000000006</v>
      </c>
      <c r="E41" s="14">
        <f>(Table1[[#This Row],[attendance_percent]]/100)</f>
        <v>0.7340000000000001</v>
      </c>
      <c r="F41">
        <v>70</v>
      </c>
      <c r="G41">
        <v>39.9</v>
      </c>
      <c r="H41">
        <f>ROUND(Table1[[#This Row],[exam_score]]/Table1[[#This Row],[hours_studied]], 2)</f>
        <v>3.41</v>
      </c>
      <c r="I41" s="8">
        <f>ROUND(Table1[[#This Row],[sleep_hours]]/Table1[[#This Row],[hours_studied]], 2)</f>
        <v>0.38</v>
      </c>
      <c r="J41" s="8">
        <f>Table1[[#This Row],[previous_scores]]+Table1[[#This Row],[exam_score]]</f>
        <v>109.9</v>
      </c>
      <c r="K41" s="7">
        <f t="shared" si="1"/>
        <v>-0.43</v>
      </c>
      <c r="L41" s="9">
        <f>Table1[[#This Row],[previous_scores]]/Table1[[#This Row],[Total Scores]]</f>
        <v>0.63694267515923564</v>
      </c>
      <c r="M41" s="9">
        <f>Table1[[#This Row],[exam_score]]/Table1[[#This Row],[Total Scores]]</f>
        <v>0.36305732484076431</v>
      </c>
      <c r="N41" s="9">
        <f>Table1[[#This Row],[exam_score]]/Table1[[#This Row],[hours_studied]]</f>
        <v>3.4102564102564101</v>
      </c>
      <c r="O41" s="9">
        <f>(Table1[[#This Row],[previous_scores]]*Table1[[#This Row],[Weight of Previous Scores]])+(Table1[[#This Row],[exam_score]]*Table1[[#This Row],[Weight of Exam Score]])</f>
        <v>59.07197452229299</v>
      </c>
      <c r="P41" s="9" t="str">
        <f>IF(Table1[[#This Row],[Weighted Average]]&gt;=63, "High", IF(Table1[[#This Row],[Weighted Average]]&gt;=48, "Average", "Low"))</f>
        <v>Average</v>
      </c>
    </row>
    <row r="42" spans="1:16" x14ac:dyDescent="0.3">
      <c r="A42" t="s">
        <v>144</v>
      </c>
      <c r="B42">
        <v>9.4</v>
      </c>
      <c r="C42">
        <v>6.3</v>
      </c>
      <c r="D42" s="8">
        <v>87.4</v>
      </c>
      <c r="E42" s="14">
        <f>(Table1[[#This Row],[attendance_percent]]/100)</f>
        <v>0.87400000000000011</v>
      </c>
      <c r="F42">
        <v>79</v>
      </c>
      <c r="G42">
        <v>39.9</v>
      </c>
      <c r="H42">
        <f>ROUND(Table1[[#This Row],[exam_score]]/Table1[[#This Row],[hours_studied]], 2)</f>
        <v>4.24</v>
      </c>
      <c r="I42" s="8">
        <f>ROUND(Table1[[#This Row],[sleep_hours]]/Table1[[#This Row],[hours_studied]], 2)</f>
        <v>0.67</v>
      </c>
      <c r="J42" s="8">
        <f>Table1[[#This Row],[previous_scores]]+Table1[[#This Row],[exam_score]]</f>
        <v>118.9</v>
      </c>
      <c r="K42" s="7">
        <f t="shared" si="1"/>
        <v>-0.49493670886075952</v>
      </c>
      <c r="L42" s="9">
        <f>Table1[[#This Row],[previous_scores]]/Table1[[#This Row],[Total Scores]]</f>
        <v>0.66442388561816645</v>
      </c>
      <c r="M42" s="9">
        <f>Table1[[#This Row],[exam_score]]/Table1[[#This Row],[Total Scores]]</f>
        <v>0.33557611438183343</v>
      </c>
      <c r="N42" s="9">
        <f>Table1[[#This Row],[exam_score]]/Table1[[#This Row],[hours_studied]]</f>
        <v>4.2446808510638299</v>
      </c>
      <c r="O42" s="9">
        <f>(Table1[[#This Row],[previous_scores]]*Table1[[#This Row],[Weight of Previous Scores]])+(Table1[[#This Row],[exam_score]]*Table1[[#This Row],[Weight of Exam Score]])</f>
        <v>65.878973927670302</v>
      </c>
      <c r="P42" s="9" t="str">
        <f>IF(Table1[[#This Row],[Weighted Average]]&gt;=63, "High", IF(Table1[[#This Row],[Weighted Average]]&gt;=48, "Average", "Low"))</f>
        <v>High</v>
      </c>
    </row>
    <row r="43" spans="1:16" x14ac:dyDescent="0.3">
      <c r="A43" t="s">
        <v>44</v>
      </c>
      <c r="B43">
        <v>10.5</v>
      </c>
      <c r="C43">
        <v>7</v>
      </c>
      <c r="D43" s="8">
        <v>72.8</v>
      </c>
      <c r="E43" s="14">
        <f>(Table1[[#This Row],[attendance_percent]]/100)</f>
        <v>0.72799999999999998</v>
      </c>
      <c r="F43">
        <v>59</v>
      </c>
      <c r="G43">
        <v>39.799999999999997</v>
      </c>
      <c r="H43">
        <f>ROUND(Table1[[#This Row],[exam_score]]/Table1[[#This Row],[hours_studied]], 2)</f>
        <v>3.79</v>
      </c>
      <c r="I43" s="8">
        <f>ROUND(Table1[[#This Row],[sleep_hours]]/Table1[[#This Row],[hours_studied]], 2)</f>
        <v>0.67</v>
      </c>
      <c r="J43" s="8">
        <f>Table1[[#This Row],[previous_scores]]+Table1[[#This Row],[exam_score]]</f>
        <v>98.8</v>
      </c>
      <c r="K43" s="7">
        <f t="shared" si="1"/>
        <v>-0.32542372881355935</v>
      </c>
      <c r="L43" s="9">
        <f>Table1[[#This Row],[previous_scores]]/Table1[[#This Row],[Total Scores]]</f>
        <v>0.59716599190283404</v>
      </c>
      <c r="M43" s="9">
        <f>Table1[[#This Row],[exam_score]]/Table1[[#This Row],[Total Scores]]</f>
        <v>0.40283400809716596</v>
      </c>
      <c r="N43" s="9">
        <f>Table1[[#This Row],[exam_score]]/Table1[[#This Row],[hours_studied]]</f>
        <v>3.7904761904761903</v>
      </c>
      <c r="O43" s="9">
        <f>(Table1[[#This Row],[previous_scores]]*Table1[[#This Row],[Weight of Previous Scores]])+(Table1[[#This Row],[exam_score]]*Table1[[#This Row],[Weight of Exam Score]])</f>
        <v>51.265587044534414</v>
      </c>
      <c r="P43" s="9" t="str">
        <f>IF(Table1[[#This Row],[Weighted Average]]&gt;=63, "High", IF(Table1[[#This Row],[Weighted Average]]&gt;=48, "Average", "Low"))</f>
        <v>Average</v>
      </c>
    </row>
    <row r="44" spans="1:16" x14ac:dyDescent="0.3">
      <c r="A44" t="s">
        <v>88</v>
      </c>
      <c r="B44">
        <v>7.4</v>
      </c>
      <c r="C44">
        <v>7.2</v>
      </c>
      <c r="D44" s="8">
        <v>67.599999999999994</v>
      </c>
      <c r="E44" s="14">
        <f>(Table1[[#This Row],[attendance_percent]]/100)</f>
        <v>0.67599999999999993</v>
      </c>
      <c r="F44">
        <v>95</v>
      </c>
      <c r="G44">
        <v>39.799999999999997</v>
      </c>
      <c r="H44">
        <f>ROUND(Table1[[#This Row],[exam_score]]/Table1[[#This Row],[hours_studied]], 2)</f>
        <v>5.38</v>
      </c>
      <c r="I44" s="8">
        <f>ROUND(Table1[[#This Row],[sleep_hours]]/Table1[[#This Row],[hours_studied]], 2)</f>
        <v>0.97</v>
      </c>
      <c r="J44" s="8">
        <f>Table1[[#This Row],[previous_scores]]+Table1[[#This Row],[exam_score]]</f>
        <v>134.80000000000001</v>
      </c>
      <c r="K44" s="7">
        <f t="shared" si="1"/>
        <v>-0.58105263157894738</v>
      </c>
      <c r="L44" s="9">
        <f>Table1[[#This Row],[previous_scores]]/Table1[[#This Row],[Total Scores]]</f>
        <v>0.70474777448071213</v>
      </c>
      <c r="M44" s="9">
        <f>Table1[[#This Row],[exam_score]]/Table1[[#This Row],[Total Scores]]</f>
        <v>0.29525222551928781</v>
      </c>
      <c r="N44" s="9">
        <f>Table1[[#This Row],[exam_score]]/Table1[[#This Row],[hours_studied]]</f>
        <v>5.3783783783783781</v>
      </c>
      <c r="O44" s="9">
        <f>(Table1[[#This Row],[previous_scores]]*Table1[[#This Row],[Weight of Previous Scores]])+(Table1[[#This Row],[exam_score]]*Table1[[#This Row],[Weight of Exam Score]])</f>
        <v>78.702077151335303</v>
      </c>
      <c r="P44" s="9" t="str">
        <f>IF(Table1[[#This Row],[Weighted Average]]&gt;=63, "High", IF(Table1[[#This Row],[Weighted Average]]&gt;=48, "Average", "Low"))</f>
        <v>High</v>
      </c>
    </row>
    <row r="45" spans="1:16" x14ac:dyDescent="0.3">
      <c r="A45" t="s">
        <v>116</v>
      </c>
      <c r="B45">
        <v>10.6</v>
      </c>
      <c r="C45">
        <v>8.5</v>
      </c>
      <c r="D45" s="8">
        <v>60.6</v>
      </c>
      <c r="E45" s="14">
        <f>(Table1[[#This Row],[attendance_percent]]/100)</f>
        <v>0.60599999999999998</v>
      </c>
      <c r="F45">
        <v>49</v>
      </c>
      <c r="G45">
        <v>39.6</v>
      </c>
      <c r="H45">
        <f>ROUND(Table1[[#This Row],[exam_score]]/Table1[[#This Row],[hours_studied]], 2)</f>
        <v>3.74</v>
      </c>
      <c r="I45" s="8">
        <f>ROUND(Table1[[#This Row],[sleep_hours]]/Table1[[#This Row],[hours_studied]], 2)</f>
        <v>0.8</v>
      </c>
      <c r="J45" s="8">
        <f>Table1[[#This Row],[previous_scores]]+Table1[[#This Row],[exam_score]]</f>
        <v>88.6</v>
      </c>
      <c r="K45" s="7">
        <f t="shared" si="1"/>
        <v>-0.19183673469387752</v>
      </c>
      <c r="L45" s="9">
        <f>Table1[[#This Row],[previous_scores]]/Table1[[#This Row],[Total Scores]]</f>
        <v>0.55304740406320541</v>
      </c>
      <c r="M45" s="9">
        <f>Table1[[#This Row],[exam_score]]/Table1[[#This Row],[Total Scores]]</f>
        <v>0.44695259593679465</v>
      </c>
      <c r="N45" s="9">
        <f>Table1[[#This Row],[exam_score]]/Table1[[#This Row],[hours_studied]]</f>
        <v>3.7358490566037736</v>
      </c>
      <c r="O45" s="9">
        <f>(Table1[[#This Row],[previous_scores]]*Table1[[#This Row],[Weight of Previous Scores]])+(Table1[[#This Row],[exam_score]]*Table1[[#This Row],[Weight of Exam Score]])</f>
        <v>44.798645598194135</v>
      </c>
      <c r="P45" s="9" t="str">
        <f>IF(Table1[[#This Row],[Weighted Average]]&gt;=63, "High", IF(Table1[[#This Row],[Weighted Average]]&gt;=48, "Average", "Low"))</f>
        <v>Low</v>
      </c>
    </row>
    <row r="46" spans="1:16" x14ac:dyDescent="0.3">
      <c r="A46" t="s">
        <v>70</v>
      </c>
      <c r="B46">
        <v>10.3</v>
      </c>
      <c r="C46">
        <v>8.1999999999999993</v>
      </c>
      <c r="D46" s="8">
        <v>77</v>
      </c>
      <c r="E46" s="14">
        <f>(Table1[[#This Row],[attendance_percent]]/100)</f>
        <v>0.77</v>
      </c>
      <c r="F46">
        <v>52</v>
      </c>
      <c r="G46">
        <v>39.5</v>
      </c>
      <c r="H46">
        <f>ROUND(Table1[[#This Row],[exam_score]]/Table1[[#This Row],[hours_studied]], 2)</f>
        <v>3.83</v>
      </c>
      <c r="I46" s="8">
        <f>ROUND(Table1[[#This Row],[sleep_hours]]/Table1[[#This Row],[hours_studied]], 2)</f>
        <v>0.8</v>
      </c>
      <c r="J46" s="8">
        <f>Table1[[#This Row],[previous_scores]]+Table1[[#This Row],[exam_score]]</f>
        <v>91.5</v>
      </c>
      <c r="K46" s="7">
        <f t="shared" si="1"/>
        <v>-0.24038461538461539</v>
      </c>
      <c r="L46" s="9">
        <f>Table1[[#This Row],[previous_scores]]/Table1[[#This Row],[Total Scores]]</f>
        <v>0.56830601092896171</v>
      </c>
      <c r="M46" s="9">
        <f>Table1[[#This Row],[exam_score]]/Table1[[#This Row],[Total Scores]]</f>
        <v>0.43169398907103823</v>
      </c>
      <c r="N46" s="9">
        <f>Table1[[#This Row],[exam_score]]/Table1[[#This Row],[hours_studied]]</f>
        <v>3.8349514563106792</v>
      </c>
      <c r="O46" s="9">
        <f>(Table1[[#This Row],[previous_scores]]*Table1[[#This Row],[Weight of Previous Scores]])+(Table1[[#This Row],[exam_score]]*Table1[[#This Row],[Weight of Exam Score]])</f>
        <v>46.603825136612016</v>
      </c>
      <c r="P46" s="9" t="str">
        <f>IF(Table1[[#This Row],[Weighted Average]]&gt;=63, "High", IF(Table1[[#This Row],[Weighted Average]]&gt;=48, "Average", "Low"))</f>
        <v>Low</v>
      </c>
    </row>
    <row r="47" spans="1:16" x14ac:dyDescent="0.3">
      <c r="A47" t="s">
        <v>190</v>
      </c>
      <c r="B47">
        <v>5.4</v>
      </c>
      <c r="C47">
        <v>6</v>
      </c>
      <c r="D47" s="8">
        <v>94.1</v>
      </c>
      <c r="E47" s="14">
        <f>(Table1[[#This Row],[attendance_percent]]/100)</f>
        <v>0.94099999999999995</v>
      </c>
      <c r="F47">
        <v>81</v>
      </c>
      <c r="G47">
        <v>39.4</v>
      </c>
      <c r="H47">
        <f>ROUND(Table1[[#This Row],[exam_score]]/Table1[[#This Row],[hours_studied]], 2)</f>
        <v>7.3</v>
      </c>
      <c r="I47" s="8">
        <f>ROUND(Table1[[#This Row],[sleep_hours]]/Table1[[#This Row],[hours_studied]], 2)</f>
        <v>1.1100000000000001</v>
      </c>
      <c r="J47" s="8">
        <f>Table1[[#This Row],[previous_scores]]+Table1[[#This Row],[exam_score]]</f>
        <v>120.4</v>
      </c>
      <c r="K47" s="7">
        <f t="shared" si="1"/>
        <v>-0.51358024691358029</v>
      </c>
      <c r="L47" s="9">
        <f>Table1[[#This Row],[previous_scores]]/Table1[[#This Row],[Total Scores]]</f>
        <v>0.6727574750830565</v>
      </c>
      <c r="M47" s="9">
        <f>Table1[[#This Row],[exam_score]]/Table1[[#This Row],[Total Scores]]</f>
        <v>0.3272425249169435</v>
      </c>
      <c r="N47" s="9">
        <f>Table1[[#This Row],[exam_score]]/Table1[[#This Row],[hours_studied]]</f>
        <v>7.2962962962962958</v>
      </c>
      <c r="O47" s="9">
        <f>(Table1[[#This Row],[previous_scores]]*Table1[[#This Row],[Weight of Previous Scores]])+(Table1[[#This Row],[exam_score]]*Table1[[#This Row],[Weight of Exam Score]])</f>
        <v>67.386710963455144</v>
      </c>
      <c r="P47" s="9" t="str">
        <f>IF(Table1[[#This Row],[Weighted Average]]&gt;=63, "High", IF(Table1[[#This Row],[Weighted Average]]&gt;=48, "Average", "Low"))</f>
        <v>High</v>
      </c>
    </row>
    <row r="48" spans="1:16" x14ac:dyDescent="0.3">
      <c r="A48" t="s">
        <v>129</v>
      </c>
      <c r="B48">
        <v>6.8</v>
      </c>
      <c r="C48">
        <v>8.4</v>
      </c>
      <c r="D48" s="8">
        <v>89.1</v>
      </c>
      <c r="E48" s="14">
        <f>(Table1[[#This Row],[attendance_percent]]/100)</f>
        <v>0.8909999999999999</v>
      </c>
      <c r="F48">
        <v>79</v>
      </c>
      <c r="G48">
        <v>39.299999999999997</v>
      </c>
      <c r="H48">
        <f>ROUND(Table1[[#This Row],[exam_score]]/Table1[[#This Row],[hours_studied]], 2)</f>
        <v>5.78</v>
      </c>
      <c r="I48" s="8">
        <f>ROUND(Table1[[#This Row],[sleep_hours]]/Table1[[#This Row],[hours_studied]], 2)</f>
        <v>1.24</v>
      </c>
      <c r="J48" s="8">
        <f>Table1[[#This Row],[previous_scores]]+Table1[[#This Row],[exam_score]]</f>
        <v>118.3</v>
      </c>
      <c r="K48" s="7">
        <f t="shared" si="1"/>
        <v>-0.50253164556962027</v>
      </c>
      <c r="L48" s="9">
        <f>Table1[[#This Row],[previous_scores]]/Table1[[#This Row],[Total Scores]]</f>
        <v>0.66779374471682162</v>
      </c>
      <c r="M48" s="9">
        <f>Table1[[#This Row],[exam_score]]/Table1[[#This Row],[Total Scores]]</f>
        <v>0.33220625528317832</v>
      </c>
      <c r="N48" s="9">
        <f>Table1[[#This Row],[exam_score]]/Table1[[#This Row],[hours_studied]]</f>
        <v>5.7794117647058822</v>
      </c>
      <c r="O48" s="9">
        <f>(Table1[[#This Row],[previous_scores]]*Table1[[#This Row],[Weight of Previous Scores]])+(Table1[[#This Row],[exam_score]]*Table1[[#This Row],[Weight of Exam Score]])</f>
        <v>65.811411665257808</v>
      </c>
      <c r="P48" s="9" t="str">
        <f>IF(Table1[[#This Row],[Weighted Average]]&gt;=63, "High", IF(Table1[[#This Row],[Weighted Average]]&gt;=48, "Average", "Low"))</f>
        <v>High</v>
      </c>
    </row>
    <row r="49" spans="1:16" x14ac:dyDescent="0.3">
      <c r="A49" t="s">
        <v>30</v>
      </c>
      <c r="B49">
        <v>11.5</v>
      </c>
      <c r="C49">
        <v>4.3</v>
      </c>
      <c r="D49" s="8">
        <v>74.7</v>
      </c>
      <c r="E49" s="14">
        <f>(Table1[[#This Row],[attendance_percent]]/100)</f>
        <v>0.747</v>
      </c>
      <c r="F49">
        <v>77</v>
      </c>
      <c r="G49">
        <v>39.200000000000003</v>
      </c>
      <c r="H49">
        <f>ROUND(Table1[[#This Row],[exam_score]]/Table1[[#This Row],[hours_studied]], 2)</f>
        <v>3.41</v>
      </c>
      <c r="I49" s="8">
        <f>ROUND(Table1[[#This Row],[sleep_hours]]/Table1[[#This Row],[hours_studied]], 2)</f>
        <v>0.37</v>
      </c>
      <c r="J49" s="8">
        <f>Table1[[#This Row],[previous_scores]]+Table1[[#This Row],[exam_score]]</f>
        <v>116.2</v>
      </c>
      <c r="K49" s="7">
        <f t="shared" si="1"/>
        <v>-0.49090909090909085</v>
      </c>
      <c r="L49" s="9">
        <f>Table1[[#This Row],[previous_scores]]/Table1[[#This Row],[Total Scores]]</f>
        <v>0.66265060240963858</v>
      </c>
      <c r="M49" s="9">
        <f>Table1[[#This Row],[exam_score]]/Table1[[#This Row],[Total Scores]]</f>
        <v>0.33734939759036148</v>
      </c>
      <c r="N49" s="9">
        <f>Table1[[#This Row],[exam_score]]/Table1[[#This Row],[hours_studied]]</f>
        <v>3.4086956521739133</v>
      </c>
      <c r="O49" s="9">
        <f>(Table1[[#This Row],[previous_scores]]*Table1[[#This Row],[Weight of Previous Scores]])+(Table1[[#This Row],[exam_score]]*Table1[[#This Row],[Weight of Exam Score]])</f>
        <v>64.248192771084348</v>
      </c>
      <c r="P49" s="9" t="str">
        <f>IF(Table1[[#This Row],[Weighted Average]]&gt;=63, "High", IF(Table1[[#This Row],[Weighted Average]]&gt;=48, "Average", "Low"))</f>
        <v>High</v>
      </c>
    </row>
    <row r="50" spans="1:16" x14ac:dyDescent="0.3">
      <c r="A50" t="s">
        <v>113</v>
      </c>
      <c r="B50">
        <v>5.8</v>
      </c>
      <c r="C50">
        <v>8.5</v>
      </c>
      <c r="D50" s="8">
        <v>73.099999999999994</v>
      </c>
      <c r="E50" s="14">
        <f>(Table1[[#This Row],[attendance_percent]]/100)</f>
        <v>0.73099999999999998</v>
      </c>
      <c r="F50">
        <v>83</v>
      </c>
      <c r="G50">
        <v>39.200000000000003</v>
      </c>
      <c r="H50">
        <f>ROUND(Table1[[#This Row],[exam_score]]/Table1[[#This Row],[hours_studied]], 2)</f>
        <v>6.76</v>
      </c>
      <c r="I50" s="8">
        <f>ROUND(Table1[[#This Row],[sleep_hours]]/Table1[[#This Row],[hours_studied]], 2)</f>
        <v>1.47</v>
      </c>
      <c r="J50" s="8">
        <f>Table1[[#This Row],[previous_scores]]+Table1[[#This Row],[exam_score]]</f>
        <v>122.2</v>
      </c>
      <c r="K50" s="7">
        <f t="shared" si="1"/>
        <v>-0.52771084337349394</v>
      </c>
      <c r="L50" s="9">
        <f>Table1[[#This Row],[previous_scores]]/Table1[[#This Row],[Total Scores]]</f>
        <v>0.67921440261865795</v>
      </c>
      <c r="M50" s="9">
        <f>Table1[[#This Row],[exam_score]]/Table1[[#This Row],[Total Scores]]</f>
        <v>0.3207855973813421</v>
      </c>
      <c r="N50" s="9">
        <f>Table1[[#This Row],[exam_score]]/Table1[[#This Row],[hours_studied]]</f>
        <v>6.7586206896551735</v>
      </c>
      <c r="O50" s="9">
        <f>(Table1[[#This Row],[previous_scores]]*Table1[[#This Row],[Weight of Previous Scores]])+(Table1[[#This Row],[exam_score]]*Table1[[#This Row],[Weight of Exam Score]])</f>
        <v>68.949590834697219</v>
      </c>
      <c r="P50" s="9" t="str">
        <f>IF(Table1[[#This Row],[Weighted Average]]&gt;=63, "High", IF(Table1[[#This Row],[Weighted Average]]&gt;=48, "Average", "Low"))</f>
        <v>High</v>
      </c>
    </row>
    <row r="51" spans="1:16" x14ac:dyDescent="0.3">
      <c r="A51" t="s">
        <v>135</v>
      </c>
      <c r="B51">
        <v>10.1</v>
      </c>
      <c r="C51">
        <v>8.3000000000000007</v>
      </c>
      <c r="D51" s="8">
        <v>57.6</v>
      </c>
      <c r="E51" s="14">
        <f>(Table1[[#This Row],[attendance_percent]]/100)</f>
        <v>0.57600000000000007</v>
      </c>
      <c r="F51">
        <v>68</v>
      </c>
      <c r="G51">
        <v>39.200000000000003</v>
      </c>
      <c r="H51">
        <f>ROUND(Table1[[#This Row],[exam_score]]/Table1[[#This Row],[hours_studied]], 2)</f>
        <v>3.88</v>
      </c>
      <c r="I51" s="8">
        <f>ROUND(Table1[[#This Row],[sleep_hours]]/Table1[[#This Row],[hours_studied]], 2)</f>
        <v>0.82</v>
      </c>
      <c r="J51" s="8">
        <f>Table1[[#This Row],[previous_scores]]+Table1[[#This Row],[exam_score]]</f>
        <v>107.2</v>
      </c>
      <c r="K51" s="7">
        <f t="shared" si="1"/>
        <v>-0.42352941176470582</v>
      </c>
      <c r="L51" s="9">
        <f>Table1[[#This Row],[previous_scores]]/Table1[[#This Row],[Total Scores]]</f>
        <v>0.63432835820895517</v>
      </c>
      <c r="M51" s="9">
        <f>Table1[[#This Row],[exam_score]]/Table1[[#This Row],[Total Scores]]</f>
        <v>0.36567164179104478</v>
      </c>
      <c r="N51" s="9">
        <f>Table1[[#This Row],[exam_score]]/Table1[[#This Row],[hours_studied]]</f>
        <v>3.8811881188118815</v>
      </c>
      <c r="O51" s="9">
        <f>(Table1[[#This Row],[previous_scores]]*Table1[[#This Row],[Weight of Previous Scores]])+(Table1[[#This Row],[exam_score]]*Table1[[#This Row],[Weight of Exam Score]])</f>
        <v>57.468656716417911</v>
      </c>
      <c r="P51" s="9" t="str">
        <f>IF(Table1[[#This Row],[Weighted Average]]&gt;=63, "High", IF(Table1[[#This Row],[Weighted Average]]&gt;=48, "Average", "Low"))</f>
        <v>Average</v>
      </c>
    </row>
    <row r="52" spans="1:16" x14ac:dyDescent="0.3">
      <c r="A52" t="s">
        <v>131</v>
      </c>
      <c r="B52">
        <v>4.5999999999999996</v>
      </c>
      <c r="C52">
        <v>7.7</v>
      </c>
      <c r="D52" s="8">
        <v>87.7</v>
      </c>
      <c r="E52" s="14">
        <f>(Table1[[#This Row],[attendance_percent]]/100)</f>
        <v>0.877</v>
      </c>
      <c r="F52">
        <v>89</v>
      </c>
      <c r="G52">
        <v>38.6</v>
      </c>
      <c r="H52">
        <f>ROUND(Table1[[#This Row],[exam_score]]/Table1[[#This Row],[hours_studied]], 2)</f>
        <v>8.39</v>
      </c>
      <c r="I52" s="8">
        <f>ROUND(Table1[[#This Row],[sleep_hours]]/Table1[[#This Row],[hours_studied]], 2)</f>
        <v>1.67</v>
      </c>
      <c r="J52" s="8">
        <f>Table1[[#This Row],[previous_scores]]+Table1[[#This Row],[exam_score]]</f>
        <v>127.6</v>
      </c>
      <c r="K52" s="7">
        <f t="shared" si="1"/>
        <v>-0.56629213483146068</v>
      </c>
      <c r="L52" s="9">
        <f>Table1[[#This Row],[previous_scores]]/Table1[[#This Row],[Total Scores]]</f>
        <v>0.69749216300940442</v>
      </c>
      <c r="M52" s="9">
        <f>Table1[[#This Row],[exam_score]]/Table1[[#This Row],[Total Scores]]</f>
        <v>0.30250783699059564</v>
      </c>
      <c r="N52" s="9">
        <f>Table1[[#This Row],[exam_score]]/Table1[[#This Row],[hours_studied]]</f>
        <v>8.3913043478260878</v>
      </c>
      <c r="O52" s="9">
        <f>(Table1[[#This Row],[previous_scores]]*Table1[[#This Row],[Weight of Previous Scores]])+(Table1[[#This Row],[exam_score]]*Table1[[#This Row],[Weight of Exam Score]])</f>
        <v>73.753605015673983</v>
      </c>
      <c r="P52" s="9" t="str">
        <f>IF(Table1[[#This Row],[Weighted Average]]&gt;=63, "High", IF(Table1[[#This Row],[Weighted Average]]&gt;=48, "Average", "Low"))</f>
        <v>High</v>
      </c>
    </row>
    <row r="53" spans="1:16" x14ac:dyDescent="0.3">
      <c r="A53" t="s">
        <v>186</v>
      </c>
      <c r="B53">
        <v>9</v>
      </c>
      <c r="C53">
        <v>7.6</v>
      </c>
      <c r="D53" s="8">
        <v>63.4</v>
      </c>
      <c r="E53" s="14">
        <f>(Table1[[#This Row],[attendance_percent]]/100)</f>
        <v>0.63400000000000001</v>
      </c>
      <c r="F53">
        <v>67</v>
      </c>
      <c r="G53">
        <v>38.4</v>
      </c>
      <c r="H53">
        <f>ROUND(Table1[[#This Row],[exam_score]]/Table1[[#This Row],[hours_studied]], 2)</f>
        <v>4.2699999999999996</v>
      </c>
      <c r="I53" s="8">
        <f>ROUND(Table1[[#This Row],[sleep_hours]]/Table1[[#This Row],[hours_studied]], 2)</f>
        <v>0.84</v>
      </c>
      <c r="J53" s="8">
        <f>Table1[[#This Row],[previous_scores]]+Table1[[#This Row],[exam_score]]</f>
        <v>105.4</v>
      </c>
      <c r="K53" s="7">
        <f t="shared" si="1"/>
        <v>-0.42686567164179107</v>
      </c>
      <c r="L53" s="9">
        <f>Table1[[#This Row],[previous_scores]]/Table1[[#This Row],[Total Scores]]</f>
        <v>0.635673624288425</v>
      </c>
      <c r="M53" s="9">
        <f>Table1[[#This Row],[exam_score]]/Table1[[#This Row],[Total Scores]]</f>
        <v>0.36432637571157495</v>
      </c>
      <c r="N53" s="9">
        <f>Table1[[#This Row],[exam_score]]/Table1[[#This Row],[hours_studied]]</f>
        <v>4.2666666666666666</v>
      </c>
      <c r="O53" s="9">
        <f>(Table1[[#This Row],[previous_scores]]*Table1[[#This Row],[Weight of Previous Scores]])+(Table1[[#This Row],[exam_score]]*Table1[[#This Row],[Weight of Exam Score]])</f>
        <v>56.580265654648954</v>
      </c>
      <c r="P53" s="9" t="str">
        <f>IF(Table1[[#This Row],[Weighted Average]]&gt;=63, "High", IF(Table1[[#This Row],[Weighted Average]]&gt;=48, "Average", "Low"))</f>
        <v>Average</v>
      </c>
    </row>
    <row r="54" spans="1:16" x14ac:dyDescent="0.3">
      <c r="A54" t="s">
        <v>43</v>
      </c>
      <c r="B54">
        <v>7.8</v>
      </c>
      <c r="C54">
        <v>5.2</v>
      </c>
      <c r="D54" s="8">
        <v>92.4</v>
      </c>
      <c r="E54" s="14">
        <f>(Table1[[#This Row],[attendance_percent]]/100)</f>
        <v>0.92400000000000004</v>
      </c>
      <c r="F54">
        <v>57</v>
      </c>
      <c r="G54">
        <v>38.299999999999997</v>
      </c>
      <c r="H54">
        <f>ROUND(Table1[[#This Row],[exam_score]]/Table1[[#This Row],[hours_studied]], 2)</f>
        <v>4.91</v>
      </c>
      <c r="I54" s="8">
        <f>ROUND(Table1[[#This Row],[sleep_hours]]/Table1[[#This Row],[hours_studied]], 2)</f>
        <v>0.67</v>
      </c>
      <c r="J54" s="8">
        <f>Table1[[#This Row],[previous_scores]]+Table1[[#This Row],[exam_score]]</f>
        <v>95.3</v>
      </c>
      <c r="K54" s="7">
        <f t="shared" si="1"/>
        <v>-0.32807017543859657</v>
      </c>
      <c r="L54" s="9">
        <f>Table1[[#This Row],[previous_scores]]/Table1[[#This Row],[Total Scores]]</f>
        <v>0.59811122770199376</v>
      </c>
      <c r="M54" s="9">
        <f>Table1[[#This Row],[exam_score]]/Table1[[#This Row],[Total Scores]]</f>
        <v>0.40188877229800629</v>
      </c>
      <c r="N54" s="9">
        <f>Table1[[#This Row],[exam_score]]/Table1[[#This Row],[hours_studied]]</f>
        <v>4.9102564102564097</v>
      </c>
      <c r="O54" s="9">
        <f>(Table1[[#This Row],[previous_scores]]*Table1[[#This Row],[Weight of Previous Scores]])+(Table1[[#This Row],[exam_score]]*Table1[[#This Row],[Weight of Exam Score]])</f>
        <v>49.484679958027286</v>
      </c>
      <c r="P54" s="9" t="str">
        <f>IF(Table1[[#This Row],[Weighted Average]]&gt;=63, "High", IF(Table1[[#This Row],[Weighted Average]]&gt;=48, "Average", "Low"))</f>
        <v>Average</v>
      </c>
    </row>
    <row r="55" spans="1:16" x14ac:dyDescent="0.3">
      <c r="A55" t="s">
        <v>63</v>
      </c>
      <c r="B55">
        <v>9</v>
      </c>
      <c r="C55">
        <v>5.0999999999999996</v>
      </c>
      <c r="D55" s="8">
        <v>76.099999999999994</v>
      </c>
      <c r="E55" s="14">
        <f>(Table1[[#This Row],[attendance_percent]]/100)</f>
        <v>0.7609999999999999</v>
      </c>
      <c r="F55">
        <v>77</v>
      </c>
      <c r="G55">
        <v>38.200000000000003</v>
      </c>
      <c r="H55">
        <f>ROUND(Table1[[#This Row],[exam_score]]/Table1[[#This Row],[hours_studied]], 2)</f>
        <v>4.24</v>
      </c>
      <c r="I55" s="8">
        <f>ROUND(Table1[[#This Row],[sleep_hours]]/Table1[[#This Row],[hours_studied]], 2)</f>
        <v>0.56999999999999995</v>
      </c>
      <c r="J55" s="8">
        <f>Table1[[#This Row],[previous_scores]]+Table1[[#This Row],[exam_score]]</f>
        <v>115.2</v>
      </c>
      <c r="K55" s="7">
        <f t="shared" si="1"/>
        <v>-0.50389610389610384</v>
      </c>
      <c r="L55" s="9">
        <f>Table1[[#This Row],[previous_scores]]/Table1[[#This Row],[Total Scores]]</f>
        <v>0.66840277777777779</v>
      </c>
      <c r="M55" s="9">
        <f>Table1[[#This Row],[exam_score]]/Table1[[#This Row],[Total Scores]]</f>
        <v>0.33159722222222227</v>
      </c>
      <c r="N55" s="9">
        <f>Table1[[#This Row],[exam_score]]/Table1[[#This Row],[hours_studied]]</f>
        <v>4.2444444444444445</v>
      </c>
      <c r="O55" s="9">
        <f>(Table1[[#This Row],[previous_scores]]*Table1[[#This Row],[Weight of Previous Scores]])+(Table1[[#This Row],[exam_score]]*Table1[[#This Row],[Weight of Exam Score]])</f>
        <v>64.134027777777789</v>
      </c>
      <c r="P55" s="9" t="str">
        <f>IF(Table1[[#This Row],[Weighted Average]]&gt;=63, "High", IF(Table1[[#This Row],[Weighted Average]]&gt;=48, "Average", "Low"))</f>
        <v>High</v>
      </c>
    </row>
    <row r="56" spans="1:16" x14ac:dyDescent="0.3">
      <c r="A56" t="s">
        <v>111</v>
      </c>
      <c r="B56">
        <v>8.1</v>
      </c>
      <c r="C56">
        <v>4.5999999999999996</v>
      </c>
      <c r="D56" s="8">
        <v>82.1</v>
      </c>
      <c r="E56" s="14">
        <f>(Table1[[#This Row],[attendance_percent]]/100)</f>
        <v>0.82099999999999995</v>
      </c>
      <c r="F56">
        <v>76</v>
      </c>
      <c r="G56">
        <v>38.200000000000003</v>
      </c>
      <c r="H56">
        <f>ROUND(Table1[[#This Row],[exam_score]]/Table1[[#This Row],[hours_studied]], 2)</f>
        <v>4.72</v>
      </c>
      <c r="I56" s="8">
        <f>ROUND(Table1[[#This Row],[sleep_hours]]/Table1[[#This Row],[hours_studied]], 2)</f>
        <v>0.56999999999999995</v>
      </c>
      <c r="J56" s="8">
        <f>Table1[[#This Row],[previous_scores]]+Table1[[#This Row],[exam_score]]</f>
        <v>114.2</v>
      </c>
      <c r="K56" s="7">
        <f t="shared" si="1"/>
        <v>-0.49736842105263152</v>
      </c>
      <c r="L56" s="9">
        <f>Table1[[#This Row],[previous_scores]]/Table1[[#This Row],[Total Scores]]</f>
        <v>0.66549912434325742</v>
      </c>
      <c r="M56" s="9">
        <f>Table1[[#This Row],[exam_score]]/Table1[[#This Row],[Total Scores]]</f>
        <v>0.33450087565674258</v>
      </c>
      <c r="N56" s="9">
        <f>Table1[[#This Row],[exam_score]]/Table1[[#This Row],[hours_studied]]</f>
        <v>4.7160493827160499</v>
      </c>
      <c r="O56" s="9">
        <f>(Table1[[#This Row],[previous_scores]]*Table1[[#This Row],[Weight of Previous Scores]])+(Table1[[#This Row],[exam_score]]*Table1[[#This Row],[Weight of Exam Score]])</f>
        <v>63.35586690017513</v>
      </c>
      <c r="P56" s="9" t="str">
        <f>IF(Table1[[#This Row],[Weighted Average]]&gt;=63, "High", IF(Table1[[#This Row],[Weighted Average]]&gt;=48, "Average", "Low"))</f>
        <v>High</v>
      </c>
    </row>
    <row r="57" spans="1:16" x14ac:dyDescent="0.3">
      <c r="A57" t="s">
        <v>38</v>
      </c>
      <c r="B57">
        <v>6.9</v>
      </c>
      <c r="C57">
        <v>7</v>
      </c>
      <c r="D57" s="8">
        <v>58.8</v>
      </c>
      <c r="E57" s="14">
        <f>(Table1[[#This Row],[attendance_percent]]/100)</f>
        <v>0.58799999999999997</v>
      </c>
      <c r="F57">
        <v>75</v>
      </c>
      <c r="G57">
        <v>38.1</v>
      </c>
      <c r="H57">
        <f>ROUND(Table1[[#This Row],[exam_score]]/Table1[[#This Row],[hours_studied]], 2)</f>
        <v>5.52</v>
      </c>
      <c r="I57" s="8">
        <f>ROUND(Table1[[#This Row],[sleep_hours]]/Table1[[#This Row],[hours_studied]], 2)</f>
        <v>1.01</v>
      </c>
      <c r="J57" s="8">
        <f>Table1[[#This Row],[previous_scores]]+Table1[[#This Row],[exam_score]]</f>
        <v>113.1</v>
      </c>
      <c r="K57" s="7">
        <f t="shared" si="1"/>
        <v>-0.49199999999999999</v>
      </c>
      <c r="L57" s="9">
        <f>Table1[[#This Row],[previous_scores]]/Table1[[#This Row],[Total Scores]]</f>
        <v>0.66312997347480107</v>
      </c>
      <c r="M57" s="9">
        <f>Table1[[#This Row],[exam_score]]/Table1[[#This Row],[Total Scores]]</f>
        <v>0.33687002652519898</v>
      </c>
      <c r="N57" s="9">
        <f>Table1[[#This Row],[exam_score]]/Table1[[#This Row],[hours_studied]]</f>
        <v>5.5217391304347823</v>
      </c>
      <c r="O57" s="9">
        <f>(Table1[[#This Row],[previous_scores]]*Table1[[#This Row],[Weight of Previous Scores]])+(Table1[[#This Row],[exam_score]]*Table1[[#This Row],[Weight of Exam Score]])</f>
        <v>62.569496021220161</v>
      </c>
      <c r="P57" s="9" t="str">
        <f>IF(Table1[[#This Row],[Weighted Average]]&gt;=63, "High", IF(Table1[[#This Row],[Weighted Average]]&gt;=48, "Average", "Low"))</f>
        <v>Average</v>
      </c>
    </row>
    <row r="58" spans="1:16" x14ac:dyDescent="0.3">
      <c r="A58" t="s">
        <v>90</v>
      </c>
      <c r="B58">
        <v>5.4</v>
      </c>
      <c r="C58">
        <v>6.4</v>
      </c>
      <c r="D58" s="8">
        <v>92.7</v>
      </c>
      <c r="E58" s="14">
        <f>(Table1[[#This Row],[attendance_percent]]/100)</f>
        <v>0.92700000000000005</v>
      </c>
      <c r="F58">
        <v>71</v>
      </c>
      <c r="G58">
        <v>38</v>
      </c>
      <c r="H58">
        <f>ROUND(Table1[[#This Row],[exam_score]]/Table1[[#This Row],[hours_studied]], 2)</f>
        <v>7.04</v>
      </c>
      <c r="I58" s="8">
        <f>ROUND(Table1[[#This Row],[sleep_hours]]/Table1[[#This Row],[hours_studied]], 2)</f>
        <v>1.19</v>
      </c>
      <c r="J58" s="8">
        <f>Table1[[#This Row],[previous_scores]]+Table1[[#This Row],[exam_score]]</f>
        <v>109</v>
      </c>
      <c r="K58" s="7">
        <f t="shared" si="1"/>
        <v>-0.46478873239436619</v>
      </c>
      <c r="L58" s="9">
        <f>Table1[[#This Row],[previous_scores]]/Table1[[#This Row],[Total Scores]]</f>
        <v>0.65137614678899081</v>
      </c>
      <c r="M58" s="9">
        <f>Table1[[#This Row],[exam_score]]/Table1[[#This Row],[Total Scores]]</f>
        <v>0.34862385321100919</v>
      </c>
      <c r="N58" s="9">
        <f>Table1[[#This Row],[exam_score]]/Table1[[#This Row],[hours_studied]]</f>
        <v>7.0370370370370363</v>
      </c>
      <c r="O58" s="9">
        <f>(Table1[[#This Row],[previous_scores]]*Table1[[#This Row],[Weight of Previous Scores]])+(Table1[[#This Row],[exam_score]]*Table1[[#This Row],[Weight of Exam Score]])</f>
        <v>59.495412844036693</v>
      </c>
      <c r="P58" s="9" t="str">
        <f>IF(Table1[[#This Row],[Weighted Average]]&gt;=63, "High", IF(Table1[[#This Row],[Weighted Average]]&gt;=48, "Average", "Low"))</f>
        <v>Average</v>
      </c>
    </row>
    <row r="59" spans="1:16" x14ac:dyDescent="0.3">
      <c r="A59" t="s">
        <v>12</v>
      </c>
      <c r="B59">
        <v>10.8</v>
      </c>
      <c r="C59">
        <v>6</v>
      </c>
      <c r="D59" s="8">
        <v>54.2</v>
      </c>
      <c r="E59" s="14">
        <f>(Table1[[#This Row],[attendance_percent]]/100)</f>
        <v>0.54200000000000004</v>
      </c>
      <c r="F59">
        <v>88</v>
      </c>
      <c r="G59">
        <v>37.9</v>
      </c>
      <c r="H59">
        <f>ROUND(Table1[[#This Row],[exam_score]]/Table1[[#This Row],[hours_studied]], 2)</f>
        <v>3.51</v>
      </c>
      <c r="I59" s="8">
        <f>ROUND(Table1[[#This Row],[sleep_hours]]/Table1[[#This Row],[hours_studied]], 2)</f>
        <v>0.56000000000000005</v>
      </c>
      <c r="J59" s="8">
        <f>Table1[[#This Row],[previous_scores]]+Table1[[#This Row],[exam_score]]</f>
        <v>125.9</v>
      </c>
      <c r="K59" s="7">
        <f t="shared" si="1"/>
        <v>-0.56931818181818183</v>
      </c>
      <c r="L59" s="9">
        <f>Table1[[#This Row],[previous_scores]]/Table1[[#This Row],[Total Scores]]</f>
        <v>0.69896743447180298</v>
      </c>
      <c r="M59" s="9">
        <f>Table1[[#This Row],[exam_score]]/Table1[[#This Row],[Total Scores]]</f>
        <v>0.30103256552819696</v>
      </c>
      <c r="N59" s="9">
        <f>Table1[[#This Row],[exam_score]]/Table1[[#This Row],[hours_studied]]</f>
        <v>3.5092592592592591</v>
      </c>
      <c r="O59" s="9">
        <f>(Table1[[#This Row],[previous_scores]]*Table1[[#This Row],[Weight of Previous Scores]])+(Table1[[#This Row],[exam_score]]*Table1[[#This Row],[Weight of Exam Score]])</f>
        <v>72.918268467037336</v>
      </c>
      <c r="P59" s="9" t="str">
        <f>IF(Table1[[#This Row],[Weighted Average]]&gt;=63, "High", IF(Table1[[#This Row],[Weighted Average]]&gt;=48, "Average", "Low"))</f>
        <v>High</v>
      </c>
    </row>
    <row r="60" spans="1:16" x14ac:dyDescent="0.3">
      <c r="A60" t="s">
        <v>163</v>
      </c>
      <c r="B60">
        <v>7.5</v>
      </c>
      <c r="C60">
        <v>5.3</v>
      </c>
      <c r="D60" s="8">
        <v>99.2</v>
      </c>
      <c r="E60" s="14">
        <f>(Table1[[#This Row],[attendance_percent]]/100)</f>
        <v>0.99199999999999999</v>
      </c>
      <c r="F60">
        <v>84</v>
      </c>
      <c r="G60">
        <v>37.9</v>
      </c>
      <c r="H60">
        <f>ROUND(Table1[[#This Row],[exam_score]]/Table1[[#This Row],[hours_studied]], 2)</f>
        <v>5.05</v>
      </c>
      <c r="I60" s="8">
        <f>ROUND(Table1[[#This Row],[sleep_hours]]/Table1[[#This Row],[hours_studied]], 2)</f>
        <v>0.71</v>
      </c>
      <c r="J60" s="8">
        <f>Table1[[#This Row],[previous_scores]]+Table1[[#This Row],[exam_score]]</f>
        <v>121.9</v>
      </c>
      <c r="K60" s="7">
        <f t="shared" si="1"/>
        <v>-0.54880952380952386</v>
      </c>
      <c r="L60" s="9">
        <f>Table1[[#This Row],[previous_scores]]/Table1[[#This Row],[Total Scores]]</f>
        <v>0.68908941755537323</v>
      </c>
      <c r="M60" s="9">
        <f>Table1[[#This Row],[exam_score]]/Table1[[#This Row],[Total Scores]]</f>
        <v>0.31091058244462672</v>
      </c>
      <c r="N60" s="9">
        <f>Table1[[#This Row],[exam_score]]/Table1[[#This Row],[hours_studied]]</f>
        <v>5.0533333333333328</v>
      </c>
      <c r="O60" s="9">
        <f>(Table1[[#This Row],[previous_scores]]*Table1[[#This Row],[Weight of Previous Scores]])+(Table1[[#This Row],[exam_score]]*Table1[[#This Row],[Weight of Exam Score]])</f>
        <v>69.66702214930271</v>
      </c>
      <c r="P60" s="9" t="str">
        <f>IF(Table1[[#This Row],[Weighted Average]]&gt;=63, "High", IF(Table1[[#This Row],[Weighted Average]]&gt;=48, "Average", "Low"))</f>
        <v>High</v>
      </c>
    </row>
    <row r="61" spans="1:16" x14ac:dyDescent="0.3">
      <c r="A61" t="s">
        <v>205</v>
      </c>
      <c r="B61">
        <v>10.199999999999999</v>
      </c>
      <c r="C61">
        <v>6.3</v>
      </c>
      <c r="D61" s="8">
        <v>97.4</v>
      </c>
      <c r="E61" s="14">
        <f>(Table1[[#This Row],[attendance_percent]]/100)</f>
        <v>0.97400000000000009</v>
      </c>
      <c r="F61">
        <v>68</v>
      </c>
      <c r="G61">
        <v>37.799999999999997</v>
      </c>
      <c r="H61">
        <f>ROUND(Table1[[#This Row],[exam_score]]/Table1[[#This Row],[hours_studied]], 2)</f>
        <v>3.71</v>
      </c>
      <c r="I61" s="8">
        <f>ROUND(Table1[[#This Row],[sleep_hours]]/Table1[[#This Row],[hours_studied]], 2)</f>
        <v>0.62</v>
      </c>
      <c r="J61" s="8">
        <f>Table1[[#This Row],[previous_scores]]+Table1[[#This Row],[exam_score]]</f>
        <v>105.8</v>
      </c>
      <c r="K61" s="7">
        <f t="shared" si="1"/>
        <v>-0.44411764705882356</v>
      </c>
      <c r="L61" s="9">
        <f>Table1[[#This Row],[previous_scores]]/Table1[[#This Row],[Total Scores]]</f>
        <v>0.64272211720226846</v>
      </c>
      <c r="M61" s="9">
        <f>Table1[[#This Row],[exam_score]]/Table1[[#This Row],[Total Scores]]</f>
        <v>0.35727788279773154</v>
      </c>
      <c r="N61" s="9">
        <f>Table1[[#This Row],[exam_score]]/Table1[[#This Row],[hours_studied]]</f>
        <v>3.7058823529411766</v>
      </c>
      <c r="O61" s="9">
        <f>(Table1[[#This Row],[previous_scores]]*Table1[[#This Row],[Weight of Previous Scores]])+(Table1[[#This Row],[exam_score]]*Table1[[#This Row],[Weight of Exam Score]])</f>
        <v>57.210207939508507</v>
      </c>
      <c r="P61" s="9" t="str">
        <f>IF(Table1[[#This Row],[Weighted Average]]&gt;=63, "High", IF(Table1[[#This Row],[Weighted Average]]&gt;=48, "Average", "Low"))</f>
        <v>Average</v>
      </c>
    </row>
    <row r="62" spans="1:16" x14ac:dyDescent="0.3">
      <c r="A62" t="s">
        <v>98</v>
      </c>
      <c r="B62">
        <v>9.6999999999999993</v>
      </c>
      <c r="C62">
        <v>7.2</v>
      </c>
      <c r="D62" s="8">
        <v>71.8</v>
      </c>
      <c r="E62" s="14">
        <f>(Table1[[#This Row],[attendance_percent]]/100)</f>
        <v>0.71799999999999997</v>
      </c>
      <c r="F62">
        <v>68</v>
      </c>
      <c r="G62">
        <v>37.5</v>
      </c>
      <c r="H62">
        <f>ROUND(Table1[[#This Row],[exam_score]]/Table1[[#This Row],[hours_studied]], 2)</f>
        <v>3.87</v>
      </c>
      <c r="I62" s="8">
        <f>ROUND(Table1[[#This Row],[sleep_hours]]/Table1[[#This Row],[hours_studied]], 2)</f>
        <v>0.74</v>
      </c>
      <c r="J62" s="8">
        <f>Table1[[#This Row],[previous_scores]]+Table1[[#This Row],[exam_score]]</f>
        <v>105.5</v>
      </c>
      <c r="K62" s="7">
        <f t="shared" si="1"/>
        <v>-0.4485294117647059</v>
      </c>
      <c r="L62" s="9">
        <f>Table1[[#This Row],[previous_scores]]/Table1[[#This Row],[Total Scores]]</f>
        <v>0.64454976303317535</v>
      </c>
      <c r="M62" s="9">
        <f>Table1[[#This Row],[exam_score]]/Table1[[#This Row],[Total Scores]]</f>
        <v>0.35545023696682465</v>
      </c>
      <c r="N62" s="9">
        <f>Table1[[#This Row],[exam_score]]/Table1[[#This Row],[hours_studied]]</f>
        <v>3.8659793814432994</v>
      </c>
      <c r="O62" s="9">
        <f>(Table1[[#This Row],[previous_scores]]*Table1[[#This Row],[Weight of Previous Scores]])+(Table1[[#This Row],[exam_score]]*Table1[[#This Row],[Weight of Exam Score]])</f>
        <v>57.158767772511851</v>
      </c>
      <c r="P62" s="9" t="str">
        <f>IF(Table1[[#This Row],[Weighted Average]]&gt;=63, "High", IF(Table1[[#This Row],[Weighted Average]]&gt;=48, "Average", "Low"))</f>
        <v>Average</v>
      </c>
    </row>
    <row r="63" spans="1:16" x14ac:dyDescent="0.3">
      <c r="A63" t="s">
        <v>34</v>
      </c>
      <c r="B63">
        <v>10.3</v>
      </c>
      <c r="C63">
        <v>4.8</v>
      </c>
      <c r="D63" s="8">
        <v>87.5</v>
      </c>
      <c r="E63" s="14">
        <f>(Table1[[#This Row],[attendance_percent]]/100)</f>
        <v>0.875</v>
      </c>
      <c r="F63">
        <v>73</v>
      </c>
      <c r="G63">
        <v>37.200000000000003</v>
      </c>
      <c r="H63">
        <f>ROUND(Table1[[#This Row],[exam_score]]/Table1[[#This Row],[hours_studied]], 2)</f>
        <v>3.61</v>
      </c>
      <c r="I63" s="8">
        <f>ROUND(Table1[[#This Row],[sleep_hours]]/Table1[[#This Row],[hours_studied]], 2)</f>
        <v>0.47</v>
      </c>
      <c r="J63" s="8">
        <f>Table1[[#This Row],[previous_scores]]+Table1[[#This Row],[exam_score]]</f>
        <v>110.2</v>
      </c>
      <c r="K63" s="7">
        <f t="shared" si="1"/>
        <v>-0.49041095890410957</v>
      </c>
      <c r="L63" s="9">
        <f>Table1[[#This Row],[previous_scores]]/Table1[[#This Row],[Total Scores]]</f>
        <v>0.66243194192377497</v>
      </c>
      <c r="M63" s="9">
        <f>Table1[[#This Row],[exam_score]]/Table1[[#This Row],[Total Scores]]</f>
        <v>0.33756805807622509</v>
      </c>
      <c r="N63" s="9">
        <f>Table1[[#This Row],[exam_score]]/Table1[[#This Row],[hours_studied]]</f>
        <v>3.6116504854368934</v>
      </c>
      <c r="O63" s="9">
        <f>(Table1[[#This Row],[previous_scores]]*Table1[[#This Row],[Weight of Previous Scores]])+(Table1[[#This Row],[exam_score]]*Table1[[#This Row],[Weight of Exam Score]])</f>
        <v>60.915063520871144</v>
      </c>
      <c r="P63" s="9" t="str">
        <f>IF(Table1[[#This Row],[Weighted Average]]&gt;=63, "High", IF(Table1[[#This Row],[Weighted Average]]&gt;=48, "Average", "Low"))</f>
        <v>Average</v>
      </c>
    </row>
    <row r="64" spans="1:16" x14ac:dyDescent="0.3">
      <c r="A64" t="s">
        <v>48</v>
      </c>
      <c r="B64">
        <v>3.5</v>
      </c>
      <c r="C64">
        <v>6.6</v>
      </c>
      <c r="D64" s="8">
        <v>79.8</v>
      </c>
      <c r="E64" s="14">
        <f>(Table1[[#This Row],[attendance_percent]]/100)</f>
        <v>0.79799999999999993</v>
      </c>
      <c r="F64">
        <v>86</v>
      </c>
      <c r="G64">
        <v>37.200000000000003</v>
      </c>
      <c r="H64">
        <f>ROUND(Table1[[#This Row],[exam_score]]/Table1[[#This Row],[hours_studied]], 2)</f>
        <v>10.63</v>
      </c>
      <c r="I64" s="8">
        <f>ROUND(Table1[[#This Row],[sleep_hours]]/Table1[[#This Row],[hours_studied]], 2)</f>
        <v>1.89</v>
      </c>
      <c r="J64" s="8">
        <f>Table1[[#This Row],[previous_scores]]+Table1[[#This Row],[exam_score]]</f>
        <v>123.2</v>
      </c>
      <c r="K64" s="7">
        <f t="shared" si="1"/>
        <v>-0.56744186046511624</v>
      </c>
      <c r="L64" s="9">
        <f>Table1[[#This Row],[previous_scores]]/Table1[[#This Row],[Total Scores]]</f>
        <v>0.69805194805194803</v>
      </c>
      <c r="M64" s="9">
        <f>Table1[[#This Row],[exam_score]]/Table1[[#This Row],[Total Scores]]</f>
        <v>0.30194805194805197</v>
      </c>
      <c r="N64" s="9">
        <f>Table1[[#This Row],[exam_score]]/Table1[[#This Row],[hours_studied]]</f>
        <v>10.62857142857143</v>
      </c>
      <c r="O64" s="9">
        <f>(Table1[[#This Row],[previous_scores]]*Table1[[#This Row],[Weight of Previous Scores]])+(Table1[[#This Row],[exam_score]]*Table1[[#This Row],[Weight of Exam Score]])</f>
        <v>71.264935064935059</v>
      </c>
      <c r="P64" s="9" t="str">
        <f>IF(Table1[[#This Row],[Weighted Average]]&gt;=63, "High", IF(Table1[[#This Row],[Weighted Average]]&gt;=48, "Average", "Low"))</f>
        <v>High</v>
      </c>
    </row>
    <row r="65" spans="1:16" x14ac:dyDescent="0.3">
      <c r="A65" t="s">
        <v>105</v>
      </c>
      <c r="B65">
        <v>10.5</v>
      </c>
      <c r="C65">
        <v>8.4</v>
      </c>
      <c r="D65" s="8">
        <v>56.4</v>
      </c>
      <c r="E65" s="14">
        <f>(Table1[[#This Row],[attendance_percent]]/100)</f>
        <v>0.56399999999999995</v>
      </c>
      <c r="F65">
        <v>47</v>
      </c>
      <c r="G65">
        <v>37.1</v>
      </c>
      <c r="H65">
        <f>ROUND(Table1[[#This Row],[exam_score]]/Table1[[#This Row],[hours_studied]], 2)</f>
        <v>3.53</v>
      </c>
      <c r="I65" s="8">
        <f>ROUND(Table1[[#This Row],[sleep_hours]]/Table1[[#This Row],[hours_studied]], 2)</f>
        <v>0.8</v>
      </c>
      <c r="J65" s="8">
        <f>Table1[[#This Row],[previous_scores]]+Table1[[#This Row],[exam_score]]</f>
        <v>84.1</v>
      </c>
      <c r="K65" s="7">
        <f t="shared" si="1"/>
        <v>-0.2106382978723404</v>
      </c>
      <c r="L65" s="9">
        <f>Table1[[#This Row],[previous_scores]]/Table1[[#This Row],[Total Scores]]</f>
        <v>0.55885850178359098</v>
      </c>
      <c r="M65" s="9">
        <f>Table1[[#This Row],[exam_score]]/Table1[[#This Row],[Total Scores]]</f>
        <v>0.44114149821640908</v>
      </c>
      <c r="N65" s="9">
        <f>Table1[[#This Row],[exam_score]]/Table1[[#This Row],[hours_studied]]</f>
        <v>3.5333333333333337</v>
      </c>
      <c r="O65" s="9">
        <f>(Table1[[#This Row],[previous_scores]]*Table1[[#This Row],[Weight of Previous Scores]])+(Table1[[#This Row],[exam_score]]*Table1[[#This Row],[Weight of Exam Score]])</f>
        <v>42.632699167657556</v>
      </c>
      <c r="P65" s="9" t="str">
        <f>IF(Table1[[#This Row],[Weighted Average]]&gt;=63, "High", IF(Table1[[#This Row],[Weighted Average]]&gt;=48, "Average", "Low"))</f>
        <v>Low</v>
      </c>
    </row>
    <row r="66" spans="1:16" x14ac:dyDescent="0.3">
      <c r="A66" t="s">
        <v>61</v>
      </c>
      <c r="B66">
        <v>7.7</v>
      </c>
      <c r="C66">
        <v>9</v>
      </c>
      <c r="D66" s="8">
        <v>81.900000000000006</v>
      </c>
      <c r="E66" s="14">
        <f>(Table1[[#This Row],[attendance_percent]]/100)</f>
        <v>0.81900000000000006</v>
      </c>
      <c r="F66">
        <v>57</v>
      </c>
      <c r="G66">
        <v>37</v>
      </c>
      <c r="H66">
        <f>ROUND(Table1[[#This Row],[exam_score]]/Table1[[#This Row],[hours_studied]], 2)</f>
        <v>4.8099999999999996</v>
      </c>
      <c r="I66" s="8">
        <f>ROUND(Table1[[#This Row],[sleep_hours]]/Table1[[#This Row],[hours_studied]], 2)</f>
        <v>1.17</v>
      </c>
      <c r="J66" s="8">
        <f>Table1[[#This Row],[previous_scores]]+Table1[[#This Row],[exam_score]]</f>
        <v>94</v>
      </c>
      <c r="K66" s="7">
        <f t="shared" ref="K66:K97" si="2">(G66-F66)/F66</f>
        <v>-0.35087719298245612</v>
      </c>
      <c r="L66" s="9">
        <f>Table1[[#This Row],[previous_scores]]/Table1[[#This Row],[Total Scores]]</f>
        <v>0.6063829787234043</v>
      </c>
      <c r="M66" s="9">
        <f>Table1[[#This Row],[exam_score]]/Table1[[#This Row],[Total Scores]]</f>
        <v>0.39361702127659576</v>
      </c>
      <c r="N66" s="9">
        <f>Table1[[#This Row],[exam_score]]/Table1[[#This Row],[hours_studied]]</f>
        <v>4.8051948051948052</v>
      </c>
      <c r="O66" s="9">
        <f>(Table1[[#This Row],[previous_scores]]*Table1[[#This Row],[Weight of Previous Scores]])+(Table1[[#This Row],[exam_score]]*Table1[[#This Row],[Weight of Exam Score]])</f>
        <v>49.127659574468083</v>
      </c>
      <c r="P66" s="9" t="str">
        <f>IF(Table1[[#This Row],[Weighted Average]]&gt;=63, "High", IF(Table1[[#This Row],[Weighted Average]]&gt;=48, "Average", "Low"))</f>
        <v>Average</v>
      </c>
    </row>
    <row r="67" spans="1:16" x14ac:dyDescent="0.3">
      <c r="A67" t="s">
        <v>102</v>
      </c>
      <c r="B67">
        <v>12</v>
      </c>
      <c r="C67">
        <v>6.1</v>
      </c>
      <c r="D67" s="8">
        <v>70.2</v>
      </c>
      <c r="E67" s="14">
        <f>(Table1[[#This Row],[attendance_percent]]/100)</f>
        <v>0.70200000000000007</v>
      </c>
      <c r="F67">
        <v>56</v>
      </c>
      <c r="G67">
        <v>36.9</v>
      </c>
      <c r="H67">
        <f>ROUND(Table1[[#This Row],[exam_score]]/Table1[[#This Row],[hours_studied]], 2)</f>
        <v>3.08</v>
      </c>
      <c r="I67" s="8">
        <f>ROUND(Table1[[#This Row],[sleep_hours]]/Table1[[#This Row],[hours_studied]], 2)</f>
        <v>0.51</v>
      </c>
      <c r="J67" s="8">
        <f>Table1[[#This Row],[previous_scores]]+Table1[[#This Row],[exam_score]]</f>
        <v>92.9</v>
      </c>
      <c r="K67" s="7">
        <f t="shared" si="2"/>
        <v>-0.34107142857142858</v>
      </c>
      <c r="L67" s="9">
        <f>Table1[[#This Row],[previous_scores]]/Table1[[#This Row],[Total Scores]]</f>
        <v>0.60279870828848225</v>
      </c>
      <c r="M67" s="9">
        <f>Table1[[#This Row],[exam_score]]/Table1[[#This Row],[Total Scores]]</f>
        <v>0.39720129171151775</v>
      </c>
      <c r="N67" s="9">
        <f>Table1[[#This Row],[exam_score]]/Table1[[#This Row],[hours_studied]]</f>
        <v>3.0749999999999997</v>
      </c>
      <c r="O67" s="9">
        <f>(Table1[[#This Row],[previous_scores]]*Table1[[#This Row],[Weight of Previous Scores]])+(Table1[[#This Row],[exam_score]]*Table1[[#This Row],[Weight of Exam Score]])</f>
        <v>48.413455328310015</v>
      </c>
      <c r="P67" s="9" t="str">
        <f>IF(Table1[[#This Row],[Weighted Average]]&gt;=63, "High", IF(Table1[[#This Row],[Weighted Average]]&gt;=48, "Average", "Low"))</f>
        <v>Average</v>
      </c>
    </row>
    <row r="68" spans="1:16" x14ac:dyDescent="0.3">
      <c r="A68" t="s">
        <v>71</v>
      </c>
      <c r="B68">
        <v>9.5</v>
      </c>
      <c r="C68">
        <v>7.5</v>
      </c>
      <c r="D68" s="8">
        <v>56.9</v>
      </c>
      <c r="E68" s="14">
        <f>(Table1[[#This Row],[attendance_percent]]/100)</f>
        <v>0.56899999999999995</v>
      </c>
      <c r="F68">
        <v>58</v>
      </c>
      <c r="G68">
        <v>36.700000000000003</v>
      </c>
      <c r="H68">
        <f>ROUND(Table1[[#This Row],[exam_score]]/Table1[[#This Row],[hours_studied]], 2)</f>
        <v>3.86</v>
      </c>
      <c r="I68" s="8">
        <f>ROUND(Table1[[#This Row],[sleep_hours]]/Table1[[#This Row],[hours_studied]], 2)</f>
        <v>0.79</v>
      </c>
      <c r="J68" s="8">
        <f>Table1[[#This Row],[previous_scores]]+Table1[[#This Row],[exam_score]]</f>
        <v>94.7</v>
      </c>
      <c r="K68" s="7">
        <f t="shared" si="2"/>
        <v>-0.36724137931034478</v>
      </c>
      <c r="L68" s="9">
        <f>Table1[[#This Row],[previous_scores]]/Table1[[#This Row],[Total Scores]]</f>
        <v>0.61246040126715939</v>
      </c>
      <c r="M68" s="9">
        <f>Table1[[#This Row],[exam_score]]/Table1[[#This Row],[Total Scores]]</f>
        <v>0.38753959873284055</v>
      </c>
      <c r="N68" s="9">
        <f>Table1[[#This Row],[exam_score]]/Table1[[#This Row],[hours_studied]]</f>
        <v>3.8631578947368426</v>
      </c>
      <c r="O68" s="9">
        <f>(Table1[[#This Row],[previous_scores]]*Table1[[#This Row],[Weight of Previous Scores]])+(Table1[[#This Row],[exam_score]]*Table1[[#This Row],[Weight of Exam Score]])</f>
        <v>49.745406546990495</v>
      </c>
      <c r="P68" s="9" t="str">
        <f>IF(Table1[[#This Row],[Weighted Average]]&gt;=63, "High", IF(Table1[[#This Row],[Weighted Average]]&gt;=48, "Average", "Low"))</f>
        <v>Average</v>
      </c>
    </row>
    <row r="69" spans="1:16" x14ac:dyDescent="0.3">
      <c r="A69" t="s">
        <v>23</v>
      </c>
      <c r="B69">
        <v>7.5</v>
      </c>
      <c r="C69">
        <v>7.6</v>
      </c>
      <c r="D69" s="8">
        <v>73.8</v>
      </c>
      <c r="E69" s="14">
        <f>(Table1[[#This Row],[attendance_percent]]/100)</f>
        <v>0.73799999999999999</v>
      </c>
      <c r="F69">
        <v>58</v>
      </c>
      <c r="G69">
        <v>36.299999999999997</v>
      </c>
      <c r="H69">
        <f>ROUND(Table1[[#This Row],[exam_score]]/Table1[[#This Row],[hours_studied]], 2)</f>
        <v>4.84</v>
      </c>
      <c r="I69" s="8">
        <f>ROUND(Table1[[#This Row],[sleep_hours]]/Table1[[#This Row],[hours_studied]], 2)</f>
        <v>1.01</v>
      </c>
      <c r="J69" s="8">
        <f>Table1[[#This Row],[previous_scores]]+Table1[[#This Row],[exam_score]]</f>
        <v>94.3</v>
      </c>
      <c r="K69" s="7">
        <f t="shared" si="2"/>
        <v>-0.37413793103448278</v>
      </c>
      <c r="L69" s="9">
        <f>Table1[[#This Row],[previous_scores]]/Table1[[#This Row],[Total Scores]]</f>
        <v>0.6150583244962885</v>
      </c>
      <c r="M69" s="9">
        <f>Table1[[#This Row],[exam_score]]/Table1[[#This Row],[Total Scores]]</f>
        <v>0.38494167550371156</v>
      </c>
      <c r="N69" s="9">
        <f>Table1[[#This Row],[exam_score]]/Table1[[#This Row],[hours_studied]]</f>
        <v>4.84</v>
      </c>
      <c r="O69" s="9">
        <f>(Table1[[#This Row],[previous_scores]]*Table1[[#This Row],[Weight of Previous Scores]])+(Table1[[#This Row],[exam_score]]*Table1[[#This Row],[Weight of Exam Score]])</f>
        <v>49.646765641569459</v>
      </c>
      <c r="P69" s="9" t="str">
        <f>IF(Table1[[#This Row],[Weighted Average]]&gt;=63, "High", IF(Table1[[#This Row],[Weighted Average]]&gt;=48, "Average", "Low"))</f>
        <v>Average</v>
      </c>
    </row>
    <row r="70" spans="1:16" x14ac:dyDescent="0.3">
      <c r="A70" t="s">
        <v>35</v>
      </c>
      <c r="B70">
        <v>7.6</v>
      </c>
      <c r="C70">
        <v>8.8000000000000007</v>
      </c>
      <c r="D70" s="8">
        <v>88.5</v>
      </c>
      <c r="E70" s="14">
        <f>(Table1[[#This Row],[attendance_percent]]/100)</f>
        <v>0.88500000000000001</v>
      </c>
      <c r="F70">
        <v>62</v>
      </c>
      <c r="G70">
        <v>36.200000000000003</v>
      </c>
      <c r="H70">
        <f>ROUND(Table1[[#This Row],[exam_score]]/Table1[[#This Row],[hours_studied]], 2)</f>
        <v>4.76</v>
      </c>
      <c r="I70" s="8">
        <f>ROUND(Table1[[#This Row],[sleep_hours]]/Table1[[#This Row],[hours_studied]], 2)</f>
        <v>1.1599999999999999</v>
      </c>
      <c r="J70" s="8">
        <f>Table1[[#This Row],[previous_scores]]+Table1[[#This Row],[exam_score]]</f>
        <v>98.2</v>
      </c>
      <c r="K70" s="7">
        <f t="shared" si="2"/>
        <v>-0.41612903225806447</v>
      </c>
      <c r="L70" s="9">
        <f>Table1[[#This Row],[previous_scores]]/Table1[[#This Row],[Total Scores]]</f>
        <v>0.6313645621181263</v>
      </c>
      <c r="M70" s="9">
        <f>Table1[[#This Row],[exam_score]]/Table1[[#This Row],[Total Scores]]</f>
        <v>0.36863543788187375</v>
      </c>
      <c r="N70" s="9">
        <f>Table1[[#This Row],[exam_score]]/Table1[[#This Row],[hours_studied]]</f>
        <v>4.7631578947368425</v>
      </c>
      <c r="O70" s="9">
        <f>(Table1[[#This Row],[previous_scores]]*Table1[[#This Row],[Weight of Previous Scores]])+(Table1[[#This Row],[exam_score]]*Table1[[#This Row],[Weight of Exam Score]])</f>
        <v>52.489205702647666</v>
      </c>
      <c r="P70" s="9" t="str">
        <f>IF(Table1[[#This Row],[Weighted Average]]&gt;=63, "High", IF(Table1[[#This Row],[Weighted Average]]&gt;=48, "Average", "Low"))</f>
        <v>Average</v>
      </c>
    </row>
    <row r="71" spans="1:16" x14ac:dyDescent="0.3">
      <c r="A71" t="s">
        <v>192</v>
      </c>
      <c r="B71">
        <v>10.5</v>
      </c>
      <c r="C71">
        <v>4.5999999999999996</v>
      </c>
      <c r="D71" s="8">
        <v>73.2</v>
      </c>
      <c r="E71" s="14">
        <f>(Table1[[#This Row],[attendance_percent]]/100)</f>
        <v>0.73199999999999998</v>
      </c>
      <c r="F71">
        <v>57</v>
      </c>
      <c r="G71">
        <v>36.200000000000003</v>
      </c>
      <c r="H71">
        <f>ROUND(Table1[[#This Row],[exam_score]]/Table1[[#This Row],[hours_studied]], 2)</f>
        <v>3.45</v>
      </c>
      <c r="I71" s="8">
        <f>ROUND(Table1[[#This Row],[sleep_hours]]/Table1[[#This Row],[hours_studied]], 2)</f>
        <v>0.44</v>
      </c>
      <c r="J71" s="8">
        <f>Table1[[#This Row],[previous_scores]]+Table1[[#This Row],[exam_score]]</f>
        <v>93.2</v>
      </c>
      <c r="K71" s="7">
        <f t="shared" si="2"/>
        <v>-0.36491228070175435</v>
      </c>
      <c r="L71" s="9">
        <f>Table1[[#This Row],[previous_scores]]/Table1[[#This Row],[Total Scores]]</f>
        <v>0.61158798283261806</v>
      </c>
      <c r="M71" s="9">
        <f>Table1[[#This Row],[exam_score]]/Table1[[#This Row],[Total Scores]]</f>
        <v>0.388412017167382</v>
      </c>
      <c r="N71" s="9">
        <f>Table1[[#This Row],[exam_score]]/Table1[[#This Row],[hours_studied]]</f>
        <v>3.4476190476190478</v>
      </c>
      <c r="O71" s="9">
        <f>(Table1[[#This Row],[previous_scores]]*Table1[[#This Row],[Weight of Previous Scores]])+(Table1[[#This Row],[exam_score]]*Table1[[#This Row],[Weight of Exam Score]])</f>
        <v>48.92103004291846</v>
      </c>
      <c r="P71" s="9" t="str">
        <f>IF(Table1[[#This Row],[Weighted Average]]&gt;=63, "High", IF(Table1[[#This Row],[Weighted Average]]&gt;=48, "Average", "Low"))</f>
        <v>Average</v>
      </c>
    </row>
    <row r="72" spans="1:16" x14ac:dyDescent="0.3">
      <c r="A72" t="s">
        <v>27</v>
      </c>
      <c r="B72">
        <v>8.6999999999999993</v>
      </c>
      <c r="C72">
        <v>6.9</v>
      </c>
      <c r="D72" s="8">
        <v>81.5</v>
      </c>
      <c r="E72" s="14">
        <f>(Table1[[#This Row],[attendance_percent]]/100)</f>
        <v>0.81499999999999995</v>
      </c>
      <c r="F72">
        <v>55</v>
      </c>
      <c r="G72">
        <v>36.1</v>
      </c>
      <c r="H72">
        <f>ROUND(Table1[[#This Row],[exam_score]]/Table1[[#This Row],[hours_studied]], 2)</f>
        <v>4.1500000000000004</v>
      </c>
      <c r="I72" s="8">
        <f>ROUND(Table1[[#This Row],[sleep_hours]]/Table1[[#This Row],[hours_studied]], 2)</f>
        <v>0.79</v>
      </c>
      <c r="J72" s="8">
        <f>Table1[[#This Row],[previous_scores]]+Table1[[#This Row],[exam_score]]</f>
        <v>91.1</v>
      </c>
      <c r="K72" s="7">
        <f t="shared" si="2"/>
        <v>-0.34363636363636363</v>
      </c>
      <c r="L72" s="9">
        <f>Table1[[#This Row],[previous_scores]]/Table1[[#This Row],[Total Scores]]</f>
        <v>0.60373216245883643</v>
      </c>
      <c r="M72" s="9">
        <f>Table1[[#This Row],[exam_score]]/Table1[[#This Row],[Total Scores]]</f>
        <v>0.39626783754116357</v>
      </c>
      <c r="N72" s="9">
        <f>Table1[[#This Row],[exam_score]]/Table1[[#This Row],[hours_studied]]</f>
        <v>4.1494252873563227</v>
      </c>
      <c r="O72" s="9">
        <f>(Table1[[#This Row],[previous_scores]]*Table1[[#This Row],[Weight of Previous Scores]])+(Table1[[#This Row],[exam_score]]*Table1[[#This Row],[Weight of Exam Score]])</f>
        <v>47.510537870472014</v>
      </c>
      <c r="P72" s="9" t="str">
        <f>IF(Table1[[#This Row],[Weighted Average]]&gt;=63, "High", IF(Table1[[#This Row],[Weighted Average]]&gt;=48, "Average", "Low"))</f>
        <v>Low</v>
      </c>
    </row>
    <row r="73" spans="1:16" x14ac:dyDescent="0.3">
      <c r="A73" t="s">
        <v>67</v>
      </c>
      <c r="B73">
        <v>8</v>
      </c>
      <c r="C73">
        <v>8.4</v>
      </c>
      <c r="D73" s="8">
        <v>64.3</v>
      </c>
      <c r="E73" s="14">
        <f>(Table1[[#This Row],[attendance_percent]]/100)</f>
        <v>0.64300000000000002</v>
      </c>
      <c r="F73">
        <v>58</v>
      </c>
      <c r="G73">
        <v>36.1</v>
      </c>
      <c r="H73">
        <f>ROUND(Table1[[#This Row],[exam_score]]/Table1[[#This Row],[hours_studied]], 2)</f>
        <v>4.51</v>
      </c>
      <c r="I73" s="8">
        <f>ROUND(Table1[[#This Row],[sleep_hours]]/Table1[[#This Row],[hours_studied]], 2)</f>
        <v>1.05</v>
      </c>
      <c r="J73" s="8">
        <f>Table1[[#This Row],[previous_scores]]+Table1[[#This Row],[exam_score]]</f>
        <v>94.1</v>
      </c>
      <c r="K73" s="7">
        <f t="shared" si="2"/>
        <v>-0.3775862068965517</v>
      </c>
      <c r="L73" s="9">
        <f>Table1[[#This Row],[previous_scores]]/Table1[[#This Row],[Total Scores]]</f>
        <v>0.61636556854410207</v>
      </c>
      <c r="M73" s="9">
        <f>Table1[[#This Row],[exam_score]]/Table1[[#This Row],[Total Scores]]</f>
        <v>0.38363443145589804</v>
      </c>
      <c r="N73" s="9">
        <f>Table1[[#This Row],[exam_score]]/Table1[[#This Row],[hours_studied]]</f>
        <v>4.5125000000000002</v>
      </c>
      <c r="O73" s="9">
        <f>(Table1[[#This Row],[previous_scores]]*Table1[[#This Row],[Weight of Previous Scores]])+(Table1[[#This Row],[exam_score]]*Table1[[#This Row],[Weight of Exam Score]])</f>
        <v>49.598405951115836</v>
      </c>
      <c r="P73" s="9" t="str">
        <f>IF(Table1[[#This Row],[Weighted Average]]&gt;=63, "High", IF(Table1[[#This Row],[Weighted Average]]&gt;=48, "Average", "Low"))</f>
        <v>Average</v>
      </c>
    </row>
    <row r="74" spans="1:16" x14ac:dyDescent="0.3">
      <c r="A74" t="s">
        <v>69</v>
      </c>
      <c r="B74">
        <v>8.5</v>
      </c>
      <c r="C74">
        <v>4.8</v>
      </c>
      <c r="D74" s="8">
        <v>66</v>
      </c>
      <c r="E74" s="14">
        <f>(Table1[[#This Row],[attendance_percent]]/100)</f>
        <v>0.66</v>
      </c>
      <c r="F74">
        <v>93</v>
      </c>
      <c r="G74">
        <v>36.1</v>
      </c>
      <c r="H74">
        <f>ROUND(Table1[[#This Row],[exam_score]]/Table1[[#This Row],[hours_studied]], 2)</f>
        <v>4.25</v>
      </c>
      <c r="I74" s="8">
        <f>ROUND(Table1[[#This Row],[sleep_hours]]/Table1[[#This Row],[hours_studied]], 2)</f>
        <v>0.56000000000000005</v>
      </c>
      <c r="J74" s="8">
        <f>Table1[[#This Row],[previous_scores]]+Table1[[#This Row],[exam_score]]</f>
        <v>129.1</v>
      </c>
      <c r="K74" s="7">
        <f t="shared" si="2"/>
        <v>-0.6118279569892473</v>
      </c>
      <c r="L74" s="9">
        <f>Table1[[#This Row],[previous_scores]]/Table1[[#This Row],[Total Scores]]</f>
        <v>0.72037180480247875</v>
      </c>
      <c r="M74" s="9">
        <f>Table1[[#This Row],[exam_score]]/Table1[[#This Row],[Total Scores]]</f>
        <v>0.2796281951975213</v>
      </c>
      <c r="N74" s="9">
        <f>Table1[[#This Row],[exam_score]]/Table1[[#This Row],[hours_studied]]</f>
        <v>4.2470588235294118</v>
      </c>
      <c r="O74" s="9">
        <f>(Table1[[#This Row],[previous_scores]]*Table1[[#This Row],[Weight of Previous Scores]])+(Table1[[#This Row],[exam_score]]*Table1[[#This Row],[Weight of Exam Score]])</f>
        <v>77.089155693261034</v>
      </c>
      <c r="P74" s="9" t="str">
        <f>IF(Table1[[#This Row],[Weighted Average]]&gt;=63, "High", IF(Table1[[#This Row],[Weighted Average]]&gt;=48, "Average", "Low"))</f>
        <v>High</v>
      </c>
    </row>
    <row r="75" spans="1:16" x14ac:dyDescent="0.3">
      <c r="A75" t="s">
        <v>134</v>
      </c>
      <c r="B75">
        <v>10.7</v>
      </c>
      <c r="C75">
        <v>8</v>
      </c>
      <c r="D75" s="8">
        <v>51</v>
      </c>
      <c r="E75" s="14">
        <f>(Table1[[#This Row],[attendance_percent]]/100)</f>
        <v>0.51</v>
      </c>
      <c r="F75">
        <v>68</v>
      </c>
      <c r="G75">
        <v>36.1</v>
      </c>
      <c r="H75">
        <f>ROUND(Table1[[#This Row],[exam_score]]/Table1[[#This Row],[hours_studied]], 2)</f>
        <v>3.37</v>
      </c>
      <c r="I75" s="8">
        <f>ROUND(Table1[[#This Row],[sleep_hours]]/Table1[[#This Row],[hours_studied]], 2)</f>
        <v>0.75</v>
      </c>
      <c r="J75" s="8">
        <f>Table1[[#This Row],[previous_scores]]+Table1[[#This Row],[exam_score]]</f>
        <v>104.1</v>
      </c>
      <c r="K75" s="7">
        <f t="shared" si="2"/>
        <v>-0.46911764705882353</v>
      </c>
      <c r="L75" s="9">
        <f>Table1[[#This Row],[previous_scores]]/Table1[[#This Row],[Total Scores]]</f>
        <v>0.65321805955811718</v>
      </c>
      <c r="M75" s="9">
        <f>Table1[[#This Row],[exam_score]]/Table1[[#This Row],[Total Scores]]</f>
        <v>0.34678194044188282</v>
      </c>
      <c r="N75" s="9">
        <f>Table1[[#This Row],[exam_score]]/Table1[[#This Row],[hours_studied]]</f>
        <v>3.3738317757009351</v>
      </c>
      <c r="O75" s="9">
        <f>(Table1[[#This Row],[previous_scores]]*Table1[[#This Row],[Weight of Previous Scores]])+(Table1[[#This Row],[exam_score]]*Table1[[#This Row],[Weight of Exam Score]])</f>
        <v>56.93765609990394</v>
      </c>
      <c r="P75" s="9" t="str">
        <f>IF(Table1[[#This Row],[Weighted Average]]&gt;=63, "High", IF(Table1[[#This Row],[Weighted Average]]&gt;=48, "Average", "Low"))</f>
        <v>Average</v>
      </c>
    </row>
    <row r="76" spans="1:16" x14ac:dyDescent="0.3">
      <c r="A76" t="s">
        <v>187</v>
      </c>
      <c r="B76">
        <v>8.4</v>
      </c>
      <c r="C76">
        <v>5.5</v>
      </c>
      <c r="D76" s="8">
        <v>92.6</v>
      </c>
      <c r="E76" s="14">
        <f>(Table1[[#This Row],[attendance_percent]]/100)</f>
        <v>0.92599999999999993</v>
      </c>
      <c r="F76">
        <v>47</v>
      </c>
      <c r="G76">
        <v>36.1</v>
      </c>
      <c r="H76">
        <f>ROUND(Table1[[#This Row],[exam_score]]/Table1[[#This Row],[hours_studied]], 2)</f>
        <v>4.3</v>
      </c>
      <c r="I76" s="8">
        <f>ROUND(Table1[[#This Row],[sleep_hours]]/Table1[[#This Row],[hours_studied]], 2)</f>
        <v>0.65</v>
      </c>
      <c r="J76" s="8">
        <f>Table1[[#This Row],[previous_scores]]+Table1[[#This Row],[exam_score]]</f>
        <v>83.1</v>
      </c>
      <c r="K76" s="7">
        <f t="shared" si="2"/>
        <v>-0.23191489361702125</v>
      </c>
      <c r="L76" s="9">
        <f>Table1[[#This Row],[previous_scores]]/Table1[[#This Row],[Total Scores]]</f>
        <v>0.56558363417569202</v>
      </c>
      <c r="M76" s="9">
        <f>Table1[[#This Row],[exam_score]]/Table1[[#This Row],[Total Scores]]</f>
        <v>0.43441636582430809</v>
      </c>
      <c r="N76" s="9">
        <f>Table1[[#This Row],[exam_score]]/Table1[[#This Row],[hours_studied]]</f>
        <v>4.2976190476190474</v>
      </c>
      <c r="O76" s="9">
        <f>(Table1[[#This Row],[previous_scores]]*Table1[[#This Row],[Weight of Previous Scores]])+(Table1[[#This Row],[exam_score]]*Table1[[#This Row],[Weight of Exam Score]])</f>
        <v>42.264861612515048</v>
      </c>
      <c r="P76" s="9" t="str">
        <f>IF(Table1[[#This Row],[Weighted Average]]&gt;=63, "High", IF(Table1[[#This Row],[Weighted Average]]&gt;=48, "Average", "Low"))</f>
        <v>Low</v>
      </c>
    </row>
    <row r="77" spans="1:16" x14ac:dyDescent="0.3">
      <c r="A77" t="s">
        <v>103</v>
      </c>
      <c r="B77">
        <v>6.8</v>
      </c>
      <c r="C77">
        <v>4</v>
      </c>
      <c r="D77" s="8">
        <v>58.3</v>
      </c>
      <c r="E77" s="14">
        <f>(Table1[[#This Row],[attendance_percent]]/100)</f>
        <v>0.58299999999999996</v>
      </c>
      <c r="F77">
        <v>95</v>
      </c>
      <c r="G77">
        <v>36</v>
      </c>
      <c r="H77">
        <f>ROUND(Table1[[#This Row],[exam_score]]/Table1[[#This Row],[hours_studied]], 2)</f>
        <v>5.29</v>
      </c>
      <c r="I77" s="8">
        <f>ROUND(Table1[[#This Row],[sleep_hours]]/Table1[[#This Row],[hours_studied]], 2)</f>
        <v>0.59</v>
      </c>
      <c r="J77" s="8">
        <f>Table1[[#This Row],[previous_scores]]+Table1[[#This Row],[exam_score]]</f>
        <v>131</v>
      </c>
      <c r="K77" s="7">
        <f t="shared" si="2"/>
        <v>-0.62105263157894741</v>
      </c>
      <c r="L77" s="9">
        <f>Table1[[#This Row],[previous_scores]]/Table1[[#This Row],[Total Scores]]</f>
        <v>0.72519083969465647</v>
      </c>
      <c r="M77" s="9">
        <f>Table1[[#This Row],[exam_score]]/Table1[[#This Row],[Total Scores]]</f>
        <v>0.27480916030534353</v>
      </c>
      <c r="N77" s="9">
        <f>Table1[[#This Row],[exam_score]]/Table1[[#This Row],[hours_studied]]</f>
        <v>5.2941176470588234</v>
      </c>
      <c r="O77" s="9">
        <f>(Table1[[#This Row],[previous_scores]]*Table1[[#This Row],[Weight of Previous Scores]])+(Table1[[#This Row],[exam_score]]*Table1[[#This Row],[Weight of Exam Score]])</f>
        <v>78.78625954198472</v>
      </c>
      <c r="P77" s="9" t="str">
        <f>IF(Table1[[#This Row],[Weighted Average]]&gt;=63, "High", IF(Table1[[#This Row],[Weighted Average]]&gt;=48, "Average", "Low"))</f>
        <v>High</v>
      </c>
    </row>
    <row r="78" spans="1:16" x14ac:dyDescent="0.3">
      <c r="A78" t="s">
        <v>29</v>
      </c>
      <c r="B78">
        <v>2.7</v>
      </c>
      <c r="C78">
        <v>7.7</v>
      </c>
      <c r="D78" s="8">
        <v>84.8</v>
      </c>
      <c r="E78" s="14">
        <f>(Table1[[#This Row],[attendance_percent]]/100)</f>
        <v>0.84799999999999998</v>
      </c>
      <c r="F78">
        <v>82</v>
      </c>
      <c r="G78">
        <v>35.9</v>
      </c>
      <c r="H78">
        <f>ROUND(Table1[[#This Row],[exam_score]]/Table1[[#This Row],[hours_studied]], 2)</f>
        <v>13.3</v>
      </c>
      <c r="I78" s="8">
        <f>ROUND(Table1[[#This Row],[sleep_hours]]/Table1[[#This Row],[hours_studied]], 2)</f>
        <v>2.85</v>
      </c>
      <c r="J78" s="8">
        <f>Table1[[#This Row],[previous_scores]]+Table1[[#This Row],[exam_score]]</f>
        <v>117.9</v>
      </c>
      <c r="K78" s="7">
        <f t="shared" si="2"/>
        <v>-0.56219512195121957</v>
      </c>
      <c r="L78" s="9">
        <f>Table1[[#This Row],[previous_scores]]/Table1[[#This Row],[Total Scores]]</f>
        <v>0.69550466497031382</v>
      </c>
      <c r="M78" s="9">
        <f>Table1[[#This Row],[exam_score]]/Table1[[#This Row],[Total Scores]]</f>
        <v>0.30449533502968612</v>
      </c>
      <c r="N78" s="9">
        <f>Table1[[#This Row],[exam_score]]/Table1[[#This Row],[hours_studied]]</f>
        <v>13.296296296296294</v>
      </c>
      <c r="O78" s="9">
        <f>(Table1[[#This Row],[previous_scores]]*Table1[[#This Row],[Weight of Previous Scores]])+(Table1[[#This Row],[exam_score]]*Table1[[#This Row],[Weight of Exam Score]])</f>
        <v>67.962765055131456</v>
      </c>
      <c r="P78" s="9" t="str">
        <f>IF(Table1[[#This Row],[Weighted Average]]&gt;=63, "High", IF(Table1[[#This Row],[Weighted Average]]&gt;=48, "Average", "Low"))</f>
        <v>High</v>
      </c>
    </row>
    <row r="79" spans="1:16" x14ac:dyDescent="0.3">
      <c r="A79" t="s">
        <v>8</v>
      </c>
      <c r="B79">
        <v>4</v>
      </c>
      <c r="C79">
        <v>8.1999999999999993</v>
      </c>
      <c r="D79" s="8">
        <v>73.7</v>
      </c>
      <c r="E79" s="14">
        <f>(Table1[[#This Row],[attendance_percent]]/100)</f>
        <v>0.73699999999999999</v>
      </c>
      <c r="F79">
        <v>86</v>
      </c>
      <c r="G79">
        <v>35.799999999999997</v>
      </c>
      <c r="H79">
        <f>ROUND(Table1[[#This Row],[exam_score]]/Table1[[#This Row],[hours_studied]], 2)</f>
        <v>8.9499999999999993</v>
      </c>
      <c r="I79" s="8">
        <f>ROUND(Table1[[#This Row],[sleep_hours]]/Table1[[#This Row],[hours_studied]], 2)</f>
        <v>2.0499999999999998</v>
      </c>
      <c r="J79" s="8">
        <f>Table1[[#This Row],[previous_scores]]+Table1[[#This Row],[exam_score]]</f>
        <v>121.8</v>
      </c>
      <c r="K79" s="7">
        <f t="shared" si="2"/>
        <v>-0.58372093023255822</v>
      </c>
      <c r="L79" s="9">
        <f>Table1[[#This Row],[previous_scores]]/Table1[[#This Row],[Total Scores]]</f>
        <v>0.70607553366174058</v>
      </c>
      <c r="M79" s="9">
        <f>Table1[[#This Row],[exam_score]]/Table1[[#This Row],[Total Scores]]</f>
        <v>0.29392446633825942</v>
      </c>
      <c r="N79" s="9">
        <f>Table1[[#This Row],[exam_score]]/Table1[[#This Row],[hours_studied]]</f>
        <v>8.9499999999999993</v>
      </c>
      <c r="O79" s="9">
        <f>(Table1[[#This Row],[previous_scores]]*Table1[[#This Row],[Weight of Previous Scores]])+(Table1[[#This Row],[exam_score]]*Table1[[#This Row],[Weight of Exam Score]])</f>
        <v>71.24499178981938</v>
      </c>
      <c r="P79" s="9" t="str">
        <f>IF(Table1[[#This Row],[Weighted Average]]&gt;=63, "High", IF(Table1[[#This Row],[Weighted Average]]&gt;=48, "Average", "Low"))</f>
        <v>High</v>
      </c>
    </row>
    <row r="80" spans="1:16" x14ac:dyDescent="0.3">
      <c r="A80" t="s">
        <v>124</v>
      </c>
      <c r="B80">
        <v>7.7</v>
      </c>
      <c r="C80">
        <v>4.8</v>
      </c>
      <c r="D80" s="8">
        <v>51</v>
      </c>
      <c r="E80" s="14">
        <f>(Table1[[#This Row],[attendance_percent]]/100)</f>
        <v>0.51</v>
      </c>
      <c r="F80">
        <v>88</v>
      </c>
      <c r="G80">
        <v>35.799999999999997</v>
      </c>
      <c r="H80">
        <f>ROUND(Table1[[#This Row],[exam_score]]/Table1[[#This Row],[hours_studied]], 2)</f>
        <v>4.6500000000000004</v>
      </c>
      <c r="I80" s="8">
        <f>ROUND(Table1[[#This Row],[sleep_hours]]/Table1[[#This Row],[hours_studied]], 2)</f>
        <v>0.62</v>
      </c>
      <c r="J80" s="8">
        <f>Table1[[#This Row],[previous_scores]]+Table1[[#This Row],[exam_score]]</f>
        <v>123.8</v>
      </c>
      <c r="K80" s="7">
        <f t="shared" si="2"/>
        <v>-0.59318181818181825</v>
      </c>
      <c r="L80" s="9">
        <f>Table1[[#This Row],[previous_scores]]/Table1[[#This Row],[Total Scores]]</f>
        <v>0.71082390953150243</v>
      </c>
      <c r="M80" s="9">
        <f>Table1[[#This Row],[exam_score]]/Table1[[#This Row],[Total Scores]]</f>
        <v>0.28917609046849757</v>
      </c>
      <c r="N80" s="9">
        <f>Table1[[#This Row],[exam_score]]/Table1[[#This Row],[hours_studied]]</f>
        <v>4.6493506493506489</v>
      </c>
      <c r="O80" s="9">
        <f>(Table1[[#This Row],[previous_scores]]*Table1[[#This Row],[Weight of Previous Scores]])+(Table1[[#This Row],[exam_score]]*Table1[[#This Row],[Weight of Exam Score]])</f>
        <v>72.905008077544423</v>
      </c>
      <c r="P80" s="9" t="str">
        <f>IF(Table1[[#This Row],[Weighted Average]]&gt;=63, "High", IF(Table1[[#This Row],[Weighted Average]]&gt;=48, "Average", "Low"))</f>
        <v>High</v>
      </c>
    </row>
    <row r="81" spans="1:16" x14ac:dyDescent="0.3">
      <c r="A81" t="s">
        <v>169</v>
      </c>
      <c r="B81">
        <v>11</v>
      </c>
      <c r="C81">
        <v>6.6</v>
      </c>
      <c r="D81" s="8">
        <v>67.099999999999994</v>
      </c>
      <c r="E81" s="14">
        <f>(Table1[[#This Row],[attendance_percent]]/100)</f>
        <v>0.67099999999999993</v>
      </c>
      <c r="F81">
        <v>58</v>
      </c>
      <c r="G81">
        <v>35.799999999999997</v>
      </c>
      <c r="H81">
        <f>ROUND(Table1[[#This Row],[exam_score]]/Table1[[#This Row],[hours_studied]], 2)</f>
        <v>3.25</v>
      </c>
      <c r="I81" s="8">
        <f>ROUND(Table1[[#This Row],[sleep_hours]]/Table1[[#This Row],[hours_studied]], 2)</f>
        <v>0.6</v>
      </c>
      <c r="J81" s="8">
        <f>Table1[[#This Row],[previous_scores]]+Table1[[#This Row],[exam_score]]</f>
        <v>93.8</v>
      </c>
      <c r="K81" s="7">
        <f t="shared" si="2"/>
        <v>-0.38275862068965522</v>
      </c>
      <c r="L81" s="9">
        <f>Table1[[#This Row],[previous_scores]]/Table1[[#This Row],[Total Scores]]</f>
        <v>0.61833688699360345</v>
      </c>
      <c r="M81" s="9">
        <f>Table1[[#This Row],[exam_score]]/Table1[[#This Row],[Total Scores]]</f>
        <v>0.38166311300639655</v>
      </c>
      <c r="N81" s="9">
        <f>Table1[[#This Row],[exam_score]]/Table1[[#This Row],[hours_studied]]</f>
        <v>3.2545454545454544</v>
      </c>
      <c r="O81" s="9">
        <f>(Table1[[#This Row],[previous_scores]]*Table1[[#This Row],[Weight of Previous Scores]])+(Table1[[#This Row],[exam_score]]*Table1[[#This Row],[Weight of Exam Score]])</f>
        <v>49.527078891258</v>
      </c>
      <c r="P81" s="9" t="str">
        <f>IF(Table1[[#This Row],[Weighted Average]]&gt;=63, "High", IF(Table1[[#This Row],[Weighted Average]]&gt;=48, "Average", "Low"))</f>
        <v>Average</v>
      </c>
    </row>
    <row r="82" spans="1:16" x14ac:dyDescent="0.3">
      <c r="A82" t="s">
        <v>11</v>
      </c>
      <c r="B82">
        <v>8.4</v>
      </c>
      <c r="C82">
        <v>5.0999999999999996</v>
      </c>
      <c r="D82" s="8">
        <v>58.5</v>
      </c>
      <c r="E82" s="14">
        <f>(Table1[[#This Row],[attendance_percent]]/100)</f>
        <v>0.58499999999999996</v>
      </c>
      <c r="F82">
        <v>75</v>
      </c>
      <c r="G82">
        <v>35.700000000000003</v>
      </c>
      <c r="H82">
        <f>ROUND(Table1[[#This Row],[exam_score]]/Table1[[#This Row],[hours_studied]], 2)</f>
        <v>4.25</v>
      </c>
      <c r="I82" s="8">
        <f>ROUND(Table1[[#This Row],[sleep_hours]]/Table1[[#This Row],[hours_studied]], 2)</f>
        <v>0.61</v>
      </c>
      <c r="J82" s="8">
        <f>Table1[[#This Row],[previous_scores]]+Table1[[#This Row],[exam_score]]</f>
        <v>110.7</v>
      </c>
      <c r="K82" s="7">
        <f t="shared" si="2"/>
        <v>-0.52399999999999991</v>
      </c>
      <c r="L82" s="9">
        <f>Table1[[#This Row],[previous_scores]]/Table1[[#This Row],[Total Scores]]</f>
        <v>0.6775067750677507</v>
      </c>
      <c r="M82" s="9">
        <f>Table1[[#This Row],[exam_score]]/Table1[[#This Row],[Total Scores]]</f>
        <v>0.32249322493224936</v>
      </c>
      <c r="N82" s="9">
        <f>Table1[[#This Row],[exam_score]]/Table1[[#This Row],[hours_studied]]</f>
        <v>4.25</v>
      </c>
      <c r="O82" s="9">
        <f>(Table1[[#This Row],[previous_scores]]*Table1[[#This Row],[Weight of Previous Scores]])+(Table1[[#This Row],[exam_score]]*Table1[[#This Row],[Weight of Exam Score]])</f>
        <v>62.326016260162604</v>
      </c>
      <c r="P82" s="9" t="str">
        <f>IF(Table1[[#This Row],[Weighted Average]]&gt;=63, "High", IF(Table1[[#This Row],[Weighted Average]]&gt;=48, "Average", "Low"))</f>
        <v>Average</v>
      </c>
    </row>
    <row r="83" spans="1:16" x14ac:dyDescent="0.3">
      <c r="A83" t="s">
        <v>108</v>
      </c>
      <c r="B83">
        <v>8.5</v>
      </c>
      <c r="C83">
        <v>8.1999999999999993</v>
      </c>
      <c r="D83" s="8">
        <v>69.7</v>
      </c>
      <c r="E83" s="14">
        <f>(Table1[[#This Row],[attendance_percent]]/100)</f>
        <v>0.69700000000000006</v>
      </c>
      <c r="F83">
        <v>65</v>
      </c>
      <c r="G83">
        <v>35.700000000000003</v>
      </c>
      <c r="H83">
        <f>ROUND(Table1[[#This Row],[exam_score]]/Table1[[#This Row],[hours_studied]], 2)</f>
        <v>4.2</v>
      </c>
      <c r="I83" s="8">
        <f>ROUND(Table1[[#This Row],[sleep_hours]]/Table1[[#This Row],[hours_studied]], 2)</f>
        <v>0.96</v>
      </c>
      <c r="J83" s="8">
        <f>Table1[[#This Row],[previous_scores]]+Table1[[#This Row],[exam_score]]</f>
        <v>100.7</v>
      </c>
      <c r="K83" s="7">
        <f t="shared" si="2"/>
        <v>-0.4507692307692307</v>
      </c>
      <c r="L83" s="9">
        <f>Table1[[#This Row],[previous_scores]]/Table1[[#This Row],[Total Scores]]</f>
        <v>0.6454816285998014</v>
      </c>
      <c r="M83" s="9">
        <f>Table1[[#This Row],[exam_score]]/Table1[[#This Row],[Total Scores]]</f>
        <v>0.35451837140019865</v>
      </c>
      <c r="N83" s="9">
        <f>Table1[[#This Row],[exam_score]]/Table1[[#This Row],[hours_studied]]</f>
        <v>4.2</v>
      </c>
      <c r="O83" s="9">
        <f>(Table1[[#This Row],[previous_scores]]*Table1[[#This Row],[Weight of Previous Scores]])+(Table1[[#This Row],[exam_score]]*Table1[[#This Row],[Weight of Exam Score]])</f>
        <v>54.61261171797419</v>
      </c>
      <c r="P83" s="9" t="str">
        <f>IF(Table1[[#This Row],[Weighted Average]]&gt;=63, "High", IF(Table1[[#This Row],[Weighted Average]]&gt;=48, "Average", "Low"))</f>
        <v>Average</v>
      </c>
    </row>
    <row r="84" spans="1:16" x14ac:dyDescent="0.3">
      <c r="A84" t="s">
        <v>24</v>
      </c>
      <c r="B84">
        <v>9.9</v>
      </c>
      <c r="C84">
        <v>4.8</v>
      </c>
      <c r="D84" s="8">
        <v>92.5</v>
      </c>
      <c r="E84" s="14">
        <f>(Table1[[#This Row],[attendance_percent]]/100)</f>
        <v>0.92500000000000004</v>
      </c>
      <c r="F84">
        <v>54</v>
      </c>
      <c r="G84">
        <v>35.6</v>
      </c>
      <c r="H84">
        <f>ROUND(Table1[[#This Row],[exam_score]]/Table1[[#This Row],[hours_studied]], 2)</f>
        <v>3.6</v>
      </c>
      <c r="I84" s="8">
        <f>ROUND(Table1[[#This Row],[sleep_hours]]/Table1[[#This Row],[hours_studied]], 2)</f>
        <v>0.48</v>
      </c>
      <c r="J84" s="8">
        <f>Table1[[#This Row],[previous_scores]]+Table1[[#This Row],[exam_score]]</f>
        <v>89.6</v>
      </c>
      <c r="K84" s="7">
        <f t="shared" si="2"/>
        <v>-0.34074074074074073</v>
      </c>
      <c r="L84" s="9">
        <f>Table1[[#This Row],[previous_scores]]/Table1[[#This Row],[Total Scores]]</f>
        <v>0.60267857142857151</v>
      </c>
      <c r="M84" s="9">
        <f>Table1[[#This Row],[exam_score]]/Table1[[#This Row],[Total Scores]]</f>
        <v>0.3973214285714286</v>
      </c>
      <c r="N84" s="9">
        <f>Table1[[#This Row],[exam_score]]/Table1[[#This Row],[hours_studied]]</f>
        <v>3.595959595959596</v>
      </c>
      <c r="O84" s="9">
        <f>(Table1[[#This Row],[previous_scores]]*Table1[[#This Row],[Weight of Previous Scores]])+(Table1[[#This Row],[exam_score]]*Table1[[#This Row],[Weight of Exam Score]])</f>
        <v>46.689285714285717</v>
      </c>
      <c r="P84" s="9" t="str">
        <f>IF(Table1[[#This Row],[Weighted Average]]&gt;=63, "High", IF(Table1[[#This Row],[Weighted Average]]&gt;=48, "Average", "Low"))</f>
        <v>Low</v>
      </c>
    </row>
    <row r="85" spans="1:16" x14ac:dyDescent="0.3">
      <c r="A85" t="s">
        <v>153</v>
      </c>
      <c r="B85">
        <v>9</v>
      </c>
      <c r="C85">
        <v>5.4</v>
      </c>
      <c r="D85" s="8">
        <v>69.8</v>
      </c>
      <c r="E85" s="14">
        <f>(Table1[[#This Row],[attendance_percent]]/100)</f>
        <v>0.69799999999999995</v>
      </c>
      <c r="F85">
        <v>45</v>
      </c>
      <c r="G85">
        <v>35.5</v>
      </c>
      <c r="H85">
        <f>ROUND(Table1[[#This Row],[exam_score]]/Table1[[#This Row],[hours_studied]], 2)</f>
        <v>3.94</v>
      </c>
      <c r="I85" s="8">
        <f>ROUND(Table1[[#This Row],[sleep_hours]]/Table1[[#This Row],[hours_studied]], 2)</f>
        <v>0.6</v>
      </c>
      <c r="J85" s="8">
        <f>Table1[[#This Row],[previous_scores]]+Table1[[#This Row],[exam_score]]</f>
        <v>80.5</v>
      </c>
      <c r="K85" s="7">
        <f t="shared" si="2"/>
        <v>-0.21111111111111111</v>
      </c>
      <c r="L85" s="9">
        <f>Table1[[#This Row],[previous_scores]]/Table1[[#This Row],[Total Scores]]</f>
        <v>0.55900621118012417</v>
      </c>
      <c r="M85" s="9">
        <f>Table1[[#This Row],[exam_score]]/Table1[[#This Row],[Total Scores]]</f>
        <v>0.44099378881987578</v>
      </c>
      <c r="N85" s="9">
        <f>Table1[[#This Row],[exam_score]]/Table1[[#This Row],[hours_studied]]</f>
        <v>3.9444444444444446</v>
      </c>
      <c r="O85" s="9">
        <f>(Table1[[#This Row],[previous_scores]]*Table1[[#This Row],[Weight of Previous Scores]])+(Table1[[#This Row],[exam_score]]*Table1[[#This Row],[Weight of Exam Score]])</f>
        <v>40.810559006211179</v>
      </c>
      <c r="P85" s="9" t="str">
        <f>IF(Table1[[#This Row],[Weighted Average]]&gt;=63, "High", IF(Table1[[#This Row],[Weighted Average]]&gt;=48, "Average", "Low"))</f>
        <v>Low</v>
      </c>
    </row>
    <row r="86" spans="1:16" x14ac:dyDescent="0.3">
      <c r="A86" t="s">
        <v>62</v>
      </c>
      <c r="B86">
        <v>2.9</v>
      </c>
      <c r="C86">
        <v>4.4000000000000004</v>
      </c>
      <c r="D86" s="8">
        <v>88.3</v>
      </c>
      <c r="E86" s="14">
        <f>(Table1[[#This Row],[attendance_percent]]/100)</f>
        <v>0.88300000000000001</v>
      </c>
      <c r="F86">
        <v>86</v>
      </c>
      <c r="G86">
        <v>35.200000000000003</v>
      </c>
      <c r="H86">
        <f>ROUND(Table1[[#This Row],[exam_score]]/Table1[[#This Row],[hours_studied]], 2)</f>
        <v>12.14</v>
      </c>
      <c r="I86" s="8">
        <f>ROUND(Table1[[#This Row],[sleep_hours]]/Table1[[#This Row],[hours_studied]], 2)</f>
        <v>1.52</v>
      </c>
      <c r="J86" s="8">
        <f>Table1[[#This Row],[previous_scores]]+Table1[[#This Row],[exam_score]]</f>
        <v>121.2</v>
      </c>
      <c r="K86" s="7">
        <f t="shared" si="2"/>
        <v>-0.59069767441860466</v>
      </c>
      <c r="L86" s="9">
        <f>Table1[[#This Row],[previous_scores]]/Table1[[#This Row],[Total Scores]]</f>
        <v>0.70957095709570961</v>
      </c>
      <c r="M86" s="9">
        <f>Table1[[#This Row],[exam_score]]/Table1[[#This Row],[Total Scores]]</f>
        <v>0.29042904290429045</v>
      </c>
      <c r="N86" s="9">
        <f>Table1[[#This Row],[exam_score]]/Table1[[#This Row],[hours_studied]]</f>
        <v>12.13793103448276</v>
      </c>
      <c r="O86" s="9">
        <f>(Table1[[#This Row],[previous_scores]]*Table1[[#This Row],[Weight of Previous Scores]])+(Table1[[#This Row],[exam_score]]*Table1[[#This Row],[Weight of Exam Score]])</f>
        <v>71.246204620462052</v>
      </c>
      <c r="P86" s="9" t="str">
        <f>IF(Table1[[#This Row],[Weighted Average]]&gt;=63, "High", IF(Table1[[#This Row],[Weighted Average]]&gt;=48, "Average", "Low"))</f>
        <v>High</v>
      </c>
    </row>
    <row r="87" spans="1:16" x14ac:dyDescent="0.3">
      <c r="A87" t="s">
        <v>17</v>
      </c>
      <c r="B87">
        <v>6.6</v>
      </c>
      <c r="C87">
        <v>7.9</v>
      </c>
      <c r="D87" s="8">
        <v>87.6</v>
      </c>
      <c r="E87" s="14">
        <f>(Table1[[#This Row],[attendance_percent]]/100)</f>
        <v>0.87599999999999989</v>
      </c>
      <c r="F87">
        <v>85</v>
      </c>
      <c r="G87">
        <v>35.1</v>
      </c>
      <c r="H87">
        <f>ROUND(Table1[[#This Row],[exam_score]]/Table1[[#This Row],[hours_studied]], 2)</f>
        <v>5.32</v>
      </c>
      <c r="I87" s="8">
        <f>ROUND(Table1[[#This Row],[sleep_hours]]/Table1[[#This Row],[hours_studied]], 2)</f>
        <v>1.2</v>
      </c>
      <c r="J87" s="8">
        <f>Table1[[#This Row],[previous_scores]]+Table1[[#This Row],[exam_score]]</f>
        <v>120.1</v>
      </c>
      <c r="K87" s="7">
        <f t="shared" si="2"/>
        <v>-0.58705882352941174</v>
      </c>
      <c r="L87" s="9">
        <f>Table1[[#This Row],[previous_scores]]/Table1[[#This Row],[Total Scores]]</f>
        <v>0.70774354704412989</v>
      </c>
      <c r="M87" s="9">
        <f>Table1[[#This Row],[exam_score]]/Table1[[#This Row],[Total Scores]]</f>
        <v>0.29225645295587016</v>
      </c>
      <c r="N87" s="9">
        <f>Table1[[#This Row],[exam_score]]/Table1[[#This Row],[hours_studied]]</f>
        <v>5.3181818181818183</v>
      </c>
      <c r="O87" s="9">
        <f>(Table1[[#This Row],[previous_scores]]*Table1[[#This Row],[Weight of Previous Scores]])+(Table1[[#This Row],[exam_score]]*Table1[[#This Row],[Weight of Exam Score]])</f>
        <v>70.41640299750209</v>
      </c>
      <c r="P87" s="9" t="str">
        <f>IF(Table1[[#This Row],[Weighted Average]]&gt;=63, "High", IF(Table1[[#This Row],[Weighted Average]]&gt;=48, "Average", "Low"))</f>
        <v>High</v>
      </c>
    </row>
    <row r="88" spans="1:16" x14ac:dyDescent="0.3">
      <c r="A88" t="s">
        <v>143</v>
      </c>
      <c r="B88">
        <v>9.4</v>
      </c>
      <c r="C88">
        <v>8.1</v>
      </c>
      <c r="D88" s="8">
        <v>80.400000000000006</v>
      </c>
      <c r="E88" s="14">
        <f>(Table1[[#This Row],[attendance_percent]]/100)</f>
        <v>0.80400000000000005</v>
      </c>
      <c r="F88">
        <v>43</v>
      </c>
      <c r="G88">
        <v>35.1</v>
      </c>
      <c r="H88">
        <f>ROUND(Table1[[#This Row],[exam_score]]/Table1[[#This Row],[hours_studied]], 2)</f>
        <v>3.73</v>
      </c>
      <c r="I88" s="8">
        <f>ROUND(Table1[[#This Row],[sleep_hours]]/Table1[[#This Row],[hours_studied]], 2)</f>
        <v>0.86</v>
      </c>
      <c r="J88" s="8">
        <f>Table1[[#This Row],[previous_scores]]+Table1[[#This Row],[exam_score]]</f>
        <v>78.099999999999994</v>
      </c>
      <c r="K88" s="7">
        <f t="shared" si="2"/>
        <v>-0.18372093023255812</v>
      </c>
      <c r="L88" s="9">
        <f>Table1[[#This Row],[previous_scores]]/Table1[[#This Row],[Total Scores]]</f>
        <v>0.55057618437900135</v>
      </c>
      <c r="M88" s="9">
        <f>Table1[[#This Row],[exam_score]]/Table1[[#This Row],[Total Scores]]</f>
        <v>0.44942381562099876</v>
      </c>
      <c r="N88" s="9">
        <f>Table1[[#This Row],[exam_score]]/Table1[[#This Row],[hours_studied]]</f>
        <v>3.7340425531914896</v>
      </c>
      <c r="O88" s="9">
        <f>(Table1[[#This Row],[previous_scores]]*Table1[[#This Row],[Weight of Previous Scores]])+(Table1[[#This Row],[exam_score]]*Table1[[#This Row],[Weight of Exam Score]])</f>
        <v>39.449551856594113</v>
      </c>
      <c r="P88" s="9" t="str">
        <f>IF(Table1[[#This Row],[Weighted Average]]&gt;=63, "High", IF(Table1[[#This Row],[Weighted Average]]&gt;=48, "Average", "Low"))</f>
        <v>Low</v>
      </c>
    </row>
    <row r="89" spans="1:16" x14ac:dyDescent="0.3">
      <c r="A89" t="s">
        <v>149</v>
      </c>
      <c r="B89">
        <v>10.6</v>
      </c>
      <c r="C89">
        <v>5</v>
      </c>
      <c r="D89" s="8">
        <v>51.3</v>
      </c>
      <c r="E89" s="14">
        <f>(Table1[[#This Row],[attendance_percent]]/100)</f>
        <v>0.51300000000000001</v>
      </c>
      <c r="F89">
        <v>80</v>
      </c>
      <c r="G89">
        <v>35.1</v>
      </c>
      <c r="H89">
        <f>ROUND(Table1[[#This Row],[exam_score]]/Table1[[#This Row],[hours_studied]], 2)</f>
        <v>3.31</v>
      </c>
      <c r="I89" s="8">
        <f>ROUND(Table1[[#This Row],[sleep_hours]]/Table1[[#This Row],[hours_studied]], 2)</f>
        <v>0.47</v>
      </c>
      <c r="J89" s="8">
        <f>Table1[[#This Row],[previous_scores]]+Table1[[#This Row],[exam_score]]</f>
        <v>115.1</v>
      </c>
      <c r="K89" s="7">
        <f t="shared" si="2"/>
        <v>-0.56125000000000003</v>
      </c>
      <c r="L89" s="9">
        <f>Table1[[#This Row],[previous_scores]]/Table1[[#This Row],[Total Scores]]</f>
        <v>0.69504778453518679</v>
      </c>
      <c r="M89" s="9">
        <f>Table1[[#This Row],[exam_score]]/Table1[[#This Row],[Total Scores]]</f>
        <v>0.30495221546481321</v>
      </c>
      <c r="N89" s="9">
        <f>Table1[[#This Row],[exam_score]]/Table1[[#This Row],[hours_studied]]</f>
        <v>3.3113207547169812</v>
      </c>
      <c r="O89" s="9">
        <f>(Table1[[#This Row],[previous_scores]]*Table1[[#This Row],[Weight of Previous Scores]])+(Table1[[#This Row],[exam_score]]*Table1[[#This Row],[Weight of Exam Score]])</f>
        <v>66.30764552562988</v>
      </c>
      <c r="P89" s="9" t="str">
        <f>IF(Table1[[#This Row],[Weighted Average]]&gt;=63, "High", IF(Table1[[#This Row],[Weighted Average]]&gt;=48, "Average", "Low"))</f>
        <v>High</v>
      </c>
    </row>
    <row r="90" spans="1:16" x14ac:dyDescent="0.3">
      <c r="A90" t="s">
        <v>45</v>
      </c>
      <c r="B90">
        <v>7.4</v>
      </c>
      <c r="C90">
        <v>7.1</v>
      </c>
      <c r="D90" s="8">
        <v>90.1</v>
      </c>
      <c r="E90" s="14">
        <f>(Table1[[#This Row],[attendance_percent]]/100)</f>
        <v>0.90099999999999991</v>
      </c>
      <c r="F90">
        <v>56</v>
      </c>
      <c r="G90">
        <v>35</v>
      </c>
      <c r="H90">
        <f>ROUND(Table1[[#This Row],[exam_score]]/Table1[[#This Row],[hours_studied]], 2)</f>
        <v>4.7300000000000004</v>
      </c>
      <c r="I90" s="8">
        <f>ROUND(Table1[[#This Row],[sleep_hours]]/Table1[[#This Row],[hours_studied]], 2)</f>
        <v>0.96</v>
      </c>
      <c r="J90" s="8">
        <f>Table1[[#This Row],[previous_scores]]+Table1[[#This Row],[exam_score]]</f>
        <v>91</v>
      </c>
      <c r="K90" s="7">
        <f t="shared" si="2"/>
        <v>-0.375</v>
      </c>
      <c r="L90" s="9">
        <f>Table1[[#This Row],[previous_scores]]/Table1[[#This Row],[Total Scores]]</f>
        <v>0.61538461538461542</v>
      </c>
      <c r="M90" s="9">
        <f>Table1[[#This Row],[exam_score]]/Table1[[#This Row],[Total Scores]]</f>
        <v>0.38461538461538464</v>
      </c>
      <c r="N90" s="9">
        <f>Table1[[#This Row],[exam_score]]/Table1[[#This Row],[hours_studied]]</f>
        <v>4.7297297297297298</v>
      </c>
      <c r="O90" s="9">
        <f>(Table1[[#This Row],[previous_scores]]*Table1[[#This Row],[Weight of Previous Scores]])+(Table1[[#This Row],[exam_score]]*Table1[[#This Row],[Weight of Exam Score]])</f>
        <v>47.923076923076927</v>
      </c>
      <c r="P90" s="9" t="str">
        <f>IF(Table1[[#This Row],[Weighted Average]]&gt;=63, "High", IF(Table1[[#This Row],[Weighted Average]]&gt;=48, "Average", "Low"))</f>
        <v>Low</v>
      </c>
    </row>
    <row r="91" spans="1:16" x14ac:dyDescent="0.3">
      <c r="A91" t="s">
        <v>146</v>
      </c>
      <c r="B91">
        <v>6.2</v>
      </c>
      <c r="C91">
        <v>8</v>
      </c>
      <c r="D91" s="8">
        <v>91</v>
      </c>
      <c r="E91" s="14">
        <f>(Table1[[#This Row],[attendance_percent]]/100)</f>
        <v>0.91</v>
      </c>
      <c r="F91">
        <v>46</v>
      </c>
      <c r="G91">
        <v>35</v>
      </c>
      <c r="H91">
        <f>ROUND(Table1[[#This Row],[exam_score]]/Table1[[#This Row],[hours_studied]], 2)</f>
        <v>5.65</v>
      </c>
      <c r="I91" s="8">
        <f>ROUND(Table1[[#This Row],[sleep_hours]]/Table1[[#This Row],[hours_studied]], 2)</f>
        <v>1.29</v>
      </c>
      <c r="J91" s="8">
        <f>Table1[[#This Row],[previous_scores]]+Table1[[#This Row],[exam_score]]</f>
        <v>81</v>
      </c>
      <c r="K91" s="7">
        <f t="shared" si="2"/>
        <v>-0.2391304347826087</v>
      </c>
      <c r="L91" s="9">
        <f>Table1[[#This Row],[previous_scores]]/Table1[[#This Row],[Total Scores]]</f>
        <v>0.5679012345679012</v>
      </c>
      <c r="M91" s="9">
        <f>Table1[[#This Row],[exam_score]]/Table1[[#This Row],[Total Scores]]</f>
        <v>0.43209876543209874</v>
      </c>
      <c r="N91" s="9">
        <f>Table1[[#This Row],[exam_score]]/Table1[[#This Row],[hours_studied]]</f>
        <v>5.6451612903225801</v>
      </c>
      <c r="O91" s="9">
        <f>(Table1[[#This Row],[previous_scores]]*Table1[[#This Row],[Weight of Previous Scores]])+(Table1[[#This Row],[exam_score]]*Table1[[#This Row],[Weight of Exam Score]])</f>
        <v>41.246913580246911</v>
      </c>
      <c r="P91" s="9" t="str">
        <f>IF(Table1[[#This Row],[Weighted Average]]&gt;=63, "High", IF(Table1[[#This Row],[Weighted Average]]&gt;=48, "Average", "Low"))</f>
        <v>Low</v>
      </c>
    </row>
    <row r="92" spans="1:16" x14ac:dyDescent="0.3">
      <c r="A92" t="s">
        <v>184</v>
      </c>
      <c r="B92">
        <v>5.7</v>
      </c>
      <c r="C92">
        <v>5.6</v>
      </c>
      <c r="D92" s="8">
        <v>71.8</v>
      </c>
      <c r="E92" s="14">
        <f>(Table1[[#This Row],[attendance_percent]]/100)</f>
        <v>0.71799999999999997</v>
      </c>
      <c r="F92">
        <v>91</v>
      </c>
      <c r="G92">
        <v>35</v>
      </c>
      <c r="H92">
        <f>ROUND(Table1[[#This Row],[exam_score]]/Table1[[#This Row],[hours_studied]], 2)</f>
        <v>6.14</v>
      </c>
      <c r="I92" s="8">
        <f>ROUND(Table1[[#This Row],[sleep_hours]]/Table1[[#This Row],[hours_studied]], 2)</f>
        <v>0.98</v>
      </c>
      <c r="J92" s="8">
        <f>Table1[[#This Row],[previous_scores]]+Table1[[#This Row],[exam_score]]</f>
        <v>126</v>
      </c>
      <c r="K92" s="7">
        <f t="shared" si="2"/>
        <v>-0.61538461538461542</v>
      </c>
      <c r="L92" s="9">
        <f>Table1[[#This Row],[previous_scores]]/Table1[[#This Row],[Total Scores]]</f>
        <v>0.72222222222222221</v>
      </c>
      <c r="M92" s="9">
        <f>Table1[[#This Row],[exam_score]]/Table1[[#This Row],[Total Scores]]</f>
        <v>0.27777777777777779</v>
      </c>
      <c r="N92" s="9">
        <f>Table1[[#This Row],[exam_score]]/Table1[[#This Row],[hours_studied]]</f>
        <v>6.140350877192982</v>
      </c>
      <c r="O92" s="9">
        <f>(Table1[[#This Row],[previous_scores]]*Table1[[#This Row],[Weight of Previous Scores]])+(Table1[[#This Row],[exam_score]]*Table1[[#This Row],[Weight of Exam Score]])</f>
        <v>75.444444444444443</v>
      </c>
      <c r="P92" s="9" t="str">
        <f>IF(Table1[[#This Row],[Weighted Average]]&gt;=63, "High", IF(Table1[[#This Row],[Weighted Average]]&gt;=48, "Average", "Low"))</f>
        <v>High</v>
      </c>
    </row>
    <row r="93" spans="1:16" x14ac:dyDescent="0.3">
      <c r="A93" t="s">
        <v>117</v>
      </c>
      <c r="B93">
        <v>3.9</v>
      </c>
      <c r="C93">
        <v>5.0999999999999996</v>
      </c>
      <c r="D93" s="8">
        <v>66.3</v>
      </c>
      <c r="E93" s="14">
        <f>(Table1[[#This Row],[attendance_percent]]/100)</f>
        <v>0.66299999999999992</v>
      </c>
      <c r="F93">
        <v>91</v>
      </c>
      <c r="G93">
        <v>34.799999999999997</v>
      </c>
      <c r="H93">
        <f>ROUND(Table1[[#This Row],[exam_score]]/Table1[[#This Row],[hours_studied]], 2)</f>
        <v>8.92</v>
      </c>
      <c r="I93" s="8">
        <f>ROUND(Table1[[#This Row],[sleep_hours]]/Table1[[#This Row],[hours_studied]], 2)</f>
        <v>1.31</v>
      </c>
      <c r="J93" s="8">
        <f>Table1[[#This Row],[previous_scores]]+Table1[[#This Row],[exam_score]]</f>
        <v>125.8</v>
      </c>
      <c r="K93" s="7">
        <f t="shared" si="2"/>
        <v>-0.61758241758241761</v>
      </c>
      <c r="L93" s="9">
        <f>Table1[[#This Row],[previous_scores]]/Table1[[#This Row],[Total Scores]]</f>
        <v>0.72337042925278217</v>
      </c>
      <c r="M93" s="9">
        <f>Table1[[#This Row],[exam_score]]/Table1[[#This Row],[Total Scores]]</f>
        <v>0.27662957074721778</v>
      </c>
      <c r="N93" s="9">
        <f>Table1[[#This Row],[exam_score]]/Table1[[#This Row],[hours_studied]]</f>
        <v>8.9230769230769234</v>
      </c>
      <c r="O93" s="9">
        <f>(Table1[[#This Row],[previous_scores]]*Table1[[#This Row],[Weight of Previous Scores]])+(Table1[[#This Row],[exam_score]]*Table1[[#This Row],[Weight of Exam Score]])</f>
        <v>75.453418124006348</v>
      </c>
      <c r="P93" s="9" t="str">
        <f>IF(Table1[[#This Row],[Weighted Average]]&gt;=63, "High", IF(Table1[[#This Row],[Weighted Average]]&gt;=48, "Average", "Low"))</f>
        <v>High</v>
      </c>
    </row>
    <row r="94" spans="1:16" x14ac:dyDescent="0.3">
      <c r="A94" t="s">
        <v>14</v>
      </c>
      <c r="B94">
        <v>5.6</v>
      </c>
      <c r="C94">
        <v>5.9</v>
      </c>
      <c r="D94" s="8">
        <v>81.599999999999994</v>
      </c>
      <c r="E94" s="14">
        <f>(Table1[[#This Row],[attendance_percent]]/100)</f>
        <v>0.81599999999999995</v>
      </c>
      <c r="F94">
        <v>84</v>
      </c>
      <c r="G94">
        <v>34.700000000000003</v>
      </c>
      <c r="H94">
        <f>ROUND(Table1[[#This Row],[exam_score]]/Table1[[#This Row],[hours_studied]], 2)</f>
        <v>6.2</v>
      </c>
      <c r="I94" s="8">
        <f>ROUND(Table1[[#This Row],[sleep_hours]]/Table1[[#This Row],[hours_studied]], 2)</f>
        <v>1.05</v>
      </c>
      <c r="J94" s="8">
        <f>Table1[[#This Row],[previous_scores]]+Table1[[#This Row],[exam_score]]</f>
        <v>118.7</v>
      </c>
      <c r="K94" s="7">
        <f t="shared" si="2"/>
        <v>-0.58690476190476182</v>
      </c>
      <c r="L94" s="9">
        <f>Table1[[#This Row],[previous_scores]]/Table1[[#This Row],[Total Scores]]</f>
        <v>0.7076663858466723</v>
      </c>
      <c r="M94" s="9">
        <f>Table1[[#This Row],[exam_score]]/Table1[[#This Row],[Total Scores]]</f>
        <v>0.29233361415332776</v>
      </c>
      <c r="N94" s="9">
        <f>Table1[[#This Row],[exam_score]]/Table1[[#This Row],[hours_studied]]</f>
        <v>6.1964285714285721</v>
      </c>
      <c r="O94" s="9">
        <f>(Table1[[#This Row],[previous_scores]]*Table1[[#This Row],[Weight of Previous Scores]])+(Table1[[#This Row],[exam_score]]*Table1[[#This Row],[Weight of Exam Score]])</f>
        <v>69.58795282224095</v>
      </c>
      <c r="P94" s="9" t="str">
        <f>IF(Table1[[#This Row],[Weighted Average]]&gt;=63, "High", IF(Table1[[#This Row],[Weighted Average]]&gt;=48, "Average", "Low"))</f>
        <v>High</v>
      </c>
    </row>
    <row r="95" spans="1:16" x14ac:dyDescent="0.3">
      <c r="A95" t="s">
        <v>118</v>
      </c>
      <c r="B95">
        <v>6.5</v>
      </c>
      <c r="C95">
        <v>5.2</v>
      </c>
      <c r="D95" s="8">
        <v>88.1</v>
      </c>
      <c r="E95" s="14">
        <f>(Table1[[#This Row],[attendance_percent]]/100)</f>
        <v>0.88099999999999989</v>
      </c>
      <c r="F95">
        <v>76</v>
      </c>
      <c r="G95">
        <v>34.6</v>
      </c>
      <c r="H95">
        <f>ROUND(Table1[[#This Row],[exam_score]]/Table1[[#This Row],[hours_studied]], 2)</f>
        <v>5.32</v>
      </c>
      <c r="I95" s="8">
        <f>ROUND(Table1[[#This Row],[sleep_hours]]/Table1[[#This Row],[hours_studied]], 2)</f>
        <v>0.8</v>
      </c>
      <c r="J95" s="8">
        <f>Table1[[#This Row],[previous_scores]]+Table1[[#This Row],[exam_score]]</f>
        <v>110.6</v>
      </c>
      <c r="K95" s="7">
        <f t="shared" si="2"/>
        <v>-0.54473684210526319</v>
      </c>
      <c r="L95" s="9">
        <f>Table1[[#This Row],[previous_scores]]/Table1[[#This Row],[Total Scores]]</f>
        <v>0.68716094032549735</v>
      </c>
      <c r="M95" s="9">
        <f>Table1[[#This Row],[exam_score]]/Table1[[#This Row],[Total Scores]]</f>
        <v>0.31283905967450276</v>
      </c>
      <c r="N95" s="9">
        <f>Table1[[#This Row],[exam_score]]/Table1[[#This Row],[hours_studied]]</f>
        <v>5.3230769230769237</v>
      </c>
      <c r="O95" s="9">
        <f>(Table1[[#This Row],[previous_scores]]*Table1[[#This Row],[Weight of Previous Scores]])+(Table1[[#This Row],[exam_score]]*Table1[[#This Row],[Weight of Exam Score]])</f>
        <v>63.04846292947559</v>
      </c>
      <c r="P95" s="9" t="str">
        <f>IF(Table1[[#This Row],[Weighted Average]]&gt;=63, "High", IF(Table1[[#This Row],[Weighted Average]]&gt;=48, "Average", "Low"))</f>
        <v>High</v>
      </c>
    </row>
    <row r="96" spans="1:16" x14ac:dyDescent="0.3">
      <c r="A96" t="s">
        <v>36</v>
      </c>
      <c r="B96">
        <v>9.9</v>
      </c>
      <c r="C96">
        <v>4.4000000000000004</v>
      </c>
      <c r="D96" s="8">
        <v>55.3</v>
      </c>
      <c r="E96" s="14">
        <f>(Table1[[#This Row],[attendance_percent]]/100)</f>
        <v>0.55299999999999994</v>
      </c>
      <c r="F96">
        <v>67</v>
      </c>
      <c r="G96">
        <v>34.5</v>
      </c>
      <c r="H96">
        <f>ROUND(Table1[[#This Row],[exam_score]]/Table1[[#This Row],[hours_studied]], 2)</f>
        <v>3.48</v>
      </c>
      <c r="I96" s="8">
        <f>ROUND(Table1[[#This Row],[sleep_hours]]/Table1[[#This Row],[hours_studied]], 2)</f>
        <v>0.44</v>
      </c>
      <c r="J96" s="8">
        <f>Table1[[#This Row],[previous_scores]]+Table1[[#This Row],[exam_score]]</f>
        <v>101.5</v>
      </c>
      <c r="K96" s="7">
        <f t="shared" si="2"/>
        <v>-0.48507462686567165</v>
      </c>
      <c r="L96" s="9">
        <f>Table1[[#This Row],[previous_scores]]/Table1[[#This Row],[Total Scores]]</f>
        <v>0.66009852216748766</v>
      </c>
      <c r="M96" s="9">
        <f>Table1[[#This Row],[exam_score]]/Table1[[#This Row],[Total Scores]]</f>
        <v>0.33990147783251229</v>
      </c>
      <c r="N96" s="9">
        <f>Table1[[#This Row],[exam_score]]/Table1[[#This Row],[hours_studied]]</f>
        <v>3.4848484848484849</v>
      </c>
      <c r="O96" s="9">
        <f>(Table1[[#This Row],[previous_scores]]*Table1[[#This Row],[Weight of Previous Scores]])+(Table1[[#This Row],[exam_score]]*Table1[[#This Row],[Weight of Exam Score]])</f>
        <v>55.953201970443345</v>
      </c>
      <c r="P96" s="9" t="str">
        <f>IF(Table1[[#This Row],[Weighted Average]]&gt;=63, "High", IF(Table1[[#This Row],[Weighted Average]]&gt;=48, "Average", "Low"))</f>
        <v>Average</v>
      </c>
    </row>
    <row r="97" spans="1:16" x14ac:dyDescent="0.3">
      <c r="A97" t="s">
        <v>60</v>
      </c>
      <c r="B97">
        <v>8.1</v>
      </c>
      <c r="C97">
        <v>9</v>
      </c>
      <c r="D97" s="8">
        <v>62.4</v>
      </c>
      <c r="E97" s="14">
        <f>(Table1[[#This Row],[attendance_percent]]/100)</f>
        <v>0.624</v>
      </c>
      <c r="F97">
        <v>70</v>
      </c>
      <c r="G97">
        <v>34.4</v>
      </c>
      <c r="H97">
        <f>ROUND(Table1[[#This Row],[exam_score]]/Table1[[#This Row],[hours_studied]], 2)</f>
        <v>4.25</v>
      </c>
      <c r="I97" s="8">
        <f>ROUND(Table1[[#This Row],[sleep_hours]]/Table1[[#This Row],[hours_studied]], 2)</f>
        <v>1.1100000000000001</v>
      </c>
      <c r="J97" s="8">
        <f>Table1[[#This Row],[previous_scores]]+Table1[[#This Row],[exam_score]]</f>
        <v>104.4</v>
      </c>
      <c r="K97" s="7">
        <f t="shared" si="2"/>
        <v>-0.50857142857142856</v>
      </c>
      <c r="L97" s="9">
        <f>Table1[[#This Row],[previous_scores]]/Table1[[#This Row],[Total Scores]]</f>
        <v>0.67049808429118773</v>
      </c>
      <c r="M97" s="9">
        <f>Table1[[#This Row],[exam_score]]/Table1[[#This Row],[Total Scores]]</f>
        <v>0.32950191570881221</v>
      </c>
      <c r="N97" s="9">
        <f>Table1[[#This Row],[exam_score]]/Table1[[#This Row],[hours_studied]]</f>
        <v>4.2469135802469138</v>
      </c>
      <c r="O97" s="9">
        <f>(Table1[[#This Row],[previous_scores]]*Table1[[#This Row],[Weight of Previous Scores]])+(Table1[[#This Row],[exam_score]]*Table1[[#This Row],[Weight of Exam Score]])</f>
        <v>58.26973180076628</v>
      </c>
      <c r="P97" s="9" t="str">
        <f>IF(Table1[[#This Row],[Weighted Average]]&gt;=63, "High", IF(Table1[[#This Row],[Weighted Average]]&gt;=48, "Average", "Low"))</f>
        <v>Average</v>
      </c>
    </row>
    <row r="98" spans="1:16" x14ac:dyDescent="0.3">
      <c r="A98" t="s">
        <v>181</v>
      </c>
      <c r="B98">
        <v>3.1</v>
      </c>
      <c r="C98">
        <v>4.3</v>
      </c>
      <c r="D98" s="8">
        <v>90.4</v>
      </c>
      <c r="E98" s="14">
        <f>(Table1[[#This Row],[attendance_percent]]/100)</f>
        <v>0.90400000000000003</v>
      </c>
      <c r="F98">
        <v>80</v>
      </c>
      <c r="G98">
        <v>34.4</v>
      </c>
      <c r="H98">
        <f>ROUND(Table1[[#This Row],[exam_score]]/Table1[[#This Row],[hours_studied]], 2)</f>
        <v>11.1</v>
      </c>
      <c r="I98" s="8">
        <f>ROUND(Table1[[#This Row],[sleep_hours]]/Table1[[#This Row],[hours_studied]], 2)</f>
        <v>1.39</v>
      </c>
      <c r="J98" s="8">
        <f>Table1[[#This Row],[previous_scores]]+Table1[[#This Row],[exam_score]]</f>
        <v>114.4</v>
      </c>
      <c r="K98" s="7">
        <f t="shared" ref="K98:K129" si="3">(G98-F98)/F98</f>
        <v>-0.57000000000000006</v>
      </c>
      <c r="L98" s="9">
        <f>Table1[[#This Row],[previous_scores]]/Table1[[#This Row],[Total Scores]]</f>
        <v>0.69930069930069927</v>
      </c>
      <c r="M98" s="9">
        <f>Table1[[#This Row],[exam_score]]/Table1[[#This Row],[Total Scores]]</f>
        <v>0.30069930069930068</v>
      </c>
      <c r="N98" s="9">
        <f>Table1[[#This Row],[exam_score]]/Table1[[#This Row],[hours_studied]]</f>
        <v>11.096774193548386</v>
      </c>
      <c r="O98" s="9">
        <f>(Table1[[#This Row],[previous_scores]]*Table1[[#This Row],[Weight of Previous Scores]])+(Table1[[#This Row],[exam_score]]*Table1[[#This Row],[Weight of Exam Score]])</f>
        <v>66.288111888111885</v>
      </c>
      <c r="P98" s="9" t="str">
        <f>IF(Table1[[#This Row],[Weighted Average]]&gt;=63, "High", IF(Table1[[#This Row],[Weighted Average]]&gt;=48, "Average", "Low"))</f>
        <v>High</v>
      </c>
    </row>
    <row r="99" spans="1:16" x14ac:dyDescent="0.3">
      <c r="A99" t="s">
        <v>46</v>
      </c>
      <c r="B99">
        <v>8.8000000000000007</v>
      </c>
      <c r="C99">
        <v>6.1</v>
      </c>
      <c r="D99" s="8">
        <v>83.4</v>
      </c>
      <c r="E99" s="14">
        <f>(Table1[[#This Row],[attendance_percent]]/100)</f>
        <v>0.83400000000000007</v>
      </c>
      <c r="F99">
        <v>54</v>
      </c>
      <c r="G99">
        <v>34.200000000000003</v>
      </c>
      <c r="H99">
        <f>ROUND(Table1[[#This Row],[exam_score]]/Table1[[#This Row],[hours_studied]], 2)</f>
        <v>3.89</v>
      </c>
      <c r="I99" s="8">
        <f>ROUND(Table1[[#This Row],[sleep_hours]]/Table1[[#This Row],[hours_studied]], 2)</f>
        <v>0.69</v>
      </c>
      <c r="J99" s="8">
        <f>Table1[[#This Row],[previous_scores]]+Table1[[#This Row],[exam_score]]</f>
        <v>88.2</v>
      </c>
      <c r="K99" s="7">
        <f t="shared" si="3"/>
        <v>-0.36666666666666664</v>
      </c>
      <c r="L99" s="9">
        <f>Table1[[#This Row],[previous_scores]]/Table1[[#This Row],[Total Scores]]</f>
        <v>0.61224489795918369</v>
      </c>
      <c r="M99" s="9">
        <f>Table1[[#This Row],[exam_score]]/Table1[[#This Row],[Total Scores]]</f>
        <v>0.38775510204081637</v>
      </c>
      <c r="N99" s="9">
        <f>Table1[[#This Row],[exam_score]]/Table1[[#This Row],[hours_studied]]</f>
        <v>3.8863636363636362</v>
      </c>
      <c r="O99" s="9">
        <f>(Table1[[#This Row],[previous_scores]]*Table1[[#This Row],[Weight of Previous Scores]])+(Table1[[#This Row],[exam_score]]*Table1[[#This Row],[Weight of Exam Score]])</f>
        <v>46.32244897959184</v>
      </c>
      <c r="P99" s="9" t="str">
        <f>IF(Table1[[#This Row],[Weighted Average]]&gt;=63, "High", IF(Table1[[#This Row],[Weighted Average]]&gt;=48, "Average", "Low"))</f>
        <v>Low</v>
      </c>
    </row>
    <row r="100" spans="1:16" x14ac:dyDescent="0.3">
      <c r="A100" t="s">
        <v>85</v>
      </c>
      <c r="B100">
        <v>3.7</v>
      </c>
      <c r="C100">
        <v>7</v>
      </c>
      <c r="D100" s="8">
        <v>88.3</v>
      </c>
      <c r="E100" s="14">
        <f>(Table1[[#This Row],[attendance_percent]]/100)</f>
        <v>0.88300000000000001</v>
      </c>
      <c r="F100">
        <v>84</v>
      </c>
      <c r="G100">
        <v>34.200000000000003</v>
      </c>
      <c r="H100">
        <f>ROUND(Table1[[#This Row],[exam_score]]/Table1[[#This Row],[hours_studied]], 2)</f>
        <v>9.24</v>
      </c>
      <c r="I100" s="8">
        <f>ROUND(Table1[[#This Row],[sleep_hours]]/Table1[[#This Row],[hours_studied]], 2)</f>
        <v>1.89</v>
      </c>
      <c r="J100" s="8">
        <f>Table1[[#This Row],[previous_scores]]+Table1[[#This Row],[exam_score]]</f>
        <v>118.2</v>
      </c>
      <c r="K100" s="7">
        <f t="shared" si="3"/>
        <v>-0.59285714285714286</v>
      </c>
      <c r="L100" s="9">
        <f>Table1[[#This Row],[previous_scores]]/Table1[[#This Row],[Total Scores]]</f>
        <v>0.71065989847715738</v>
      </c>
      <c r="M100" s="9">
        <f>Table1[[#This Row],[exam_score]]/Table1[[#This Row],[Total Scores]]</f>
        <v>0.28934010152284267</v>
      </c>
      <c r="N100" s="9">
        <f>Table1[[#This Row],[exam_score]]/Table1[[#This Row],[hours_studied]]</f>
        <v>9.2432432432432439</v>
      </c>
      <c r="O100" s="9">
        <f>(Table1[[#This Row],[previous_scores]]*Table1[[#This Row],[Weight of Previous Scores]])+(Table1[[#This Row],[exam_score]]*Table1[[#This Row],[Weight of Exam Score]])</f>
        <v>69.590862944162438</v>
      </c>
      <c r="P100" s="9" t="str">
        <f>IF(Table1[[#This Row],[Weighted Average]]&gt;=63, "High", IF(Table1[[#This Row],[Weighted Average]]&gt;=48, "Average", "Low"))</f>
        <v>High</v>
      </c>
    </row>
    <row r="101" spans="1:16" x14ac:dyDescent="0.3">
      <c r="A101" t="s">
        <v>21</v>
      </c>
      <c r="B101">
        <v>7</v>
      </c>
      <c r="C101">
        <v>9</v>
      </c>
      <c r="D101" s="8">
        <v>51.2</v>
      </c>
      <c r="E101" s="14">
        <f>(Table1[[#This Row],[attendance_percent]]/100)</f>
        <v>0.51200000000000001</v>
      </c>
      <c r="F101">
        <v>41</v>
      </c>
      <c r="G101">
        <v>34.1</v>
      </c>
      <c r="H101">
        <f>ROUND(Table1[[#This Row],[exam_score]]/Table1[[#This Row],[hours_studied]], 2)</f>
        <v>4.87</v>
      </c>
      <c r="I101" s="8">
        <f>ROUND(Table1[[#This Row],[sleep_hours]]/Table1[[#This Row],[hours_studied]], 2)</f>
        <v>1.29</v>
      </c>
      <c r="J101" s="8">
        <f>Table1[[#This Row],[previous_scores]]+Table1[[#This Row],[exam_score]]</f>
        <v>75.099999999999994</v>
      </c>
      <c r="K101" s="7">
        <f t="shared" si="3"/>
        <v>-0.16829268292682922</v>
      </c>
      <c r="L101" s="9">
        <f>Table1[[#This Row],[previous_scores]]/Table1[[#This Row],[Total Scores]]</f>
        <v>0.54593874833555267</v>
      </c>
      <c r="M101" s="9">
        <f>Table1[[#This Row],[exam_score]]/Table1[[#This Row],[Total Scores]]</f>
        <v>0.45406125166444744</v>
      </c>
      <c r="N101" s="9">
        <f>Table1[[#This Row],[exam_score]]/Table1[[#This Row],[hours_studied]]</f>
        <v>4.8714285714285719</v>
      </c>
      <c r="O101" s="9">
        <f>(Table1[[#This Row],[previous_scores]]*Table1[[#This Row],[Weight of Previous Scores]])+(Table1[[#This Row],[exam_score]]*Table1[[#This Row],[Weight of Exam Score]])</f>
        <v>37.866977363515318</v>
      </c>
      <c r="P101" s="9" t="str">
        <f>IF(Table1[[#This Row],[Weighted Average]]&gt;=63, "High", IF(Table1[[#This Row],[Weighted Average]]&gt;=48, "Average", "Low"))</f>
        <v>Low</v>
      </c>
    </row>
    <row r="102" spans="1:16" x14ac:dyDescent="0.3">
      <c r="A102" t="s">
        <v>9</v>
      </c>
      <c r="B102">
        <v>3.5</v>
      </c>
      <c r="C102">
        <v>4.8</v>
      </c>
      <c r="D102" s="8">
        <v>95.1</v>
      </c>
      <c r="E102" s="14">
        <f>(Table1[[#This Row],[attendance_percent]]/100)</f>
        <v>0.95099999999999996</v>
      </c>
      <c r="F102">
        <v>66</v>
      </c>
      <c r="G102">
        <v>34</v>
      </c>
      <c r="H102">
        <f>ROUND(Table1[[#This Row],[exam_score]]/Table1[[#This Row],[hours_studied]], 2)</f>
        <v>9.7100000000000009</v>
      </c>
      <c r="I102" s="8">
        <f>ROUND(Table1[[#This Row],[sleep_hours]]/Table1[[#This Row],[hours_studied]], 2)</f>
        <v>1.37</v>
      </c>
      <c r="J102" s="8">
        <f>Table1[[#This Row],[previous_scores]]+Table1[[#This Row],[exam_score]]</f>
        <v>100</v>
      </c>
      <c r="K102" s="7">
        <f t="shared" si="3"/>
        <v>-0.48484848484848486</v>
      </c>
      <c r="L102" s="9">
        <f>Table1[[#This Row],[previous_scores]]/Table1[[#This Row],[Total Scores]]</f>
        <v>0.66</v>
      </c>
      <c r="M102" s="9">
        <f>Table1[[#This Row],[exam_score]]/Table1[[#This Row],[Total Scores]]</f>
        <v>0.34</v>
      </c>
      <c r="N102" s="9">
        <f>Table1[[#This Row],[exam_score]]/Table1[[#This Row],[hours_studied]]</f>
        <v>9.7142857142857135</v>
      </c>
      <c r="O102" s="9">
        <f>(Table1[[#This Row],[previous_scores]]*Table1[[#This Row],[Weight of Previous Scores]])+(Table1[[#This Row],[exam_score]]*Table1[[#This Row],[Weight of Exam Score]])</f>
        <v>55.120000000000005</v>
      </c>
      <c r="P102" s="9" t="str">
        <f>IF(Table1[[#This Row],[Weighted Average]]&gt;=63, "High", IF(Table1[[#This Row],[Weighted Average]]&gt;=48, "Average", "Low"))</f>
        <v>Average</v>
      </c>
    </row>
    <row r="103" spans="1:16" x14ac:dyDescent="0.3">
      <c r="A103" t="s">
        <v>97</v>
      </c>
      <c r="B103">
        <v>7.9</v>
      </c>
      <c r="C103">
        <v>7.9</v>
      </c>
      <c r="D103" s="8">
        <v>61</v>
      </c>
      <c r="E103" s="14">
        <f>(Table1[[#This Row],[attendance_percent]]/100)</f>
        <v>0.61</v>
      </c>
      <c r="F103">
        <v>70</v>
      </c>
      <c r="G103">
        <v>34</v>
      </c>
      <c r="H103">
        <f>ROUND(Table1[[#This Row],[exam_score]]/Table1[[#This Row],[hours_studied]], 2)</f>
        <v>4.3</v>
      </c>
      <c r="I103" s="8">
        <f>ROUND(Table1[[#This Row],[sleep_hours]]/Table1[[#This Row],[hours_studied]], 2)</f>
        <v>1</v>
      </c>
      <c r="J103" s="8">
        <f>Table1[[#This Row],[previous_scores]]+Table1[[#This Row],[exam_score]]</f>
        <v>104</v>
      </c>
      <c r="K103" s="7">
        <f t="shared" si="3"/>
        <v>-0.51428571428571423</v>
      </c>
      <c r="L103" s="9">
        <f>Table1[[#This Row],[previous_scores]]/Table1[[#This Row],[Total Scores]]</f>
        <v>0.67307692307692313</v>
      </c>
      <c r="M103" s="9">
        <f>Table1[[#This Row],[exam_score]]/Table1[[#This Row],[Total Scores]]</f>
        <v>0.32692307692307693</v>
      </c>
      <c r="N103" s="9">
        <f>Table1[[#This Row],[exam_score]]/Table1[[#This Row],[hours_studied]]</f>
        <v>4.3037974683544302</v>
      </c>
      <c r="O103" s="9">
        <f>(Table1[[#This Row],[previous_scores]]*Table1[[#This Row],[Weight of Previous Scores]])+(Table1[[#This Row],[exam_score]]*Table1[[#This Row],[Weight of Exam Score]])</f>
        <v>58.230769230769234</v>
      </c>
      <c r="P103" s="9" t="str">
        <f>IF(Table1[[#This Row],[Weighted Average]]&gt;=63, "High", IF(Table1[[#This Row],[Weighted Average]]&gt;=48, "Average", "Low"))</f>
        <v>Average</v>
      </c>
    </row>
    <row r="104" spans="1:16" x14ac:dyDescent="0.3">
      <c r="A104" t="s">
        <v>200</v>
      </c>
      <c r="B104">
        <v>5.9</v>
      </c>
      <c r="C104">
        <v>4</v>
      </c>
      <c r="D104" s="8">
        <v>67</v>
      </c>
      <c r="E104" s="14">
        <f>(Table1[[#This Row],[attendance_percent]]/100)</f>
        <v>0.67</v>
      </c>
      <c r="F104">
        <v>78</v>
      </c>
      <c r="G104">
        <v>33.799999999999997</v>
      </c>
      <c r="H104">
        <f>ROUND(Table1[[#This Row],[exam_score]]/Table1[[#This Row],[hours_studied]], 2)</f>
        <v>5.73</v>
      </c>
      <c r="I104" s="8">
        <f>ROUND(Table1[[#This Row],[sleep_hours]]/Table1[[#This Row],[hours_studied]], 2)</f>
        <v>0.68</v>
      </c>
      <c r="J104" s="8">
        <f>Table1[[#This Row],[previous_scores]]+Table1[[#This Row],[exam_score]]</f>
        <v>111.8</v>
      </c>
      <c r="K104" s="7">
        <f t="shared" si="3"/>
        <v>-0.56666666666666665</v>
      </c>
      <c r="L104" s="9">
        <f>Table1[[#This Row],[previous_scores]]/Table1[[#This Row],[Total Scores]]</f>
        <v>0.69767441860465118</v>
      </c>
      <c r="M104" s="9">
        <f>Table1[[#This Row],[exam_score]]/Table1[[#This Row],[Total Scores]]</f>
        <v>0.30232558139534882</v>
      </c>
      <c r="N104" s="9">
        <f>Table1[[#This Row],[exam_score]]/Table1[[#This Row],[hours_studied]]</f>
        <v>5.7288135593220328</v>
      </c>
      <c r="O104" s="9">
        <f>(Table1[[#This Row],[previous_scores]]*Table1[[#This Row],[Weight of Previous Scores]])+(Table1[[#This Row],[exam_score]]*Table1[[#This Row],[Weight of Exam Score]])</f>
        <v>64.637209302325587</v>
      </c>
      <c r="P104" s="9" t="str">
        <f>IF(Table1[[#This Row],[Weighted Average]]&gt;=63, "High", IF(Table1[[#This Row],[Weighted Average]]&gt;=48, "Average", "Low"))</f>
        <v>High</v>
      </c>
    </row>
    <row r="105" spans="1:16" x14ac:dyDescent="0.3">
      <c r="A105" t="s">
        <v>162</v>
      </c>
      <c r="B105">
        <v>4.7</v>
      </c>
      <c r="C105">
        <v>8.8000000000000007</v>
      </c>
      <c r="D105" s="8">
        <v>56.1</v>
      </c>
      <c r="E105" s="14">
        <f>(Table1[[#This Row],[attendance_percent]]/100)</f>
        <v>0.56100000000000005</v>
      </c>
      <c r="F105">
        <v>68</v>
      </c>
      <c r="G105">
        <v>33.6</v>
      </c>
      <c r="H105">
        <f>ROUND(Table1[[#This Row],[exam_score]]/Table1[[#This Row],[hours_studied]], 2)</f>
        <v>7.15</v>
      </c>
      <c r="I105" s="8">
        <f>ROUND(Table1[[#This Row],[sleep_hours]]/Table1[[#This Row],[hours_studied]], 2)</f>
        <v>1.87</v>
      </c>
      <c r="J105" s="8">
        <f>Table1[[#This Row],[previous_scores]]+Table1[[#This Row],[exam_score]]</f>
        <v>101.6</v>
      </c>
      <c r="K105" s="7">
        <f t="shared" si="3"/>
        <v>-0.50588235294117645</v>
      </c>
      <c r="L105" s="9">
        <f>Table1[[#This Row],[previous_scores]]/Table1[[#This Row],[Total Scores]]</f>
        <v>0.6692913385826772</v>
      </c>
      <c r="M105" s="9">
        <f>Table1[[#This Row],[exam_score]]/Table1[[#This Row],[Total Scores]]</f>
        <v>0.33070866141732286</v>
      </c>
      <c r="N105" s="9">
        <f>Table1[[#This Row],[exam_score]]/Table1[[#This Row],[hours_studied]]</f>
        <v>7.1489361702127656</v>
      </c>
      <c r="O105" s="9">
        <f>(Table1[[#This Row],[previous_scores]]*Table1[[#This Row],[Weight of Previous Scores]])+(Table1[[#This Row],[exam_score]]*Table1[[#This Row],[Weight of Exam Score]])</f>
        <v>56.623622047244098</v>
      </c>
      <c r="P105" s="9" t="str">
        <f>IF(Table1[[#This Row],[Weighted Average]]&gt;=63, "High", IF(Table1[[#This Row],[Weighted Average]]&gt;=48, "Average", "Low"))</f>
        <v>Average</v>
      </c>
    </row>
    <row r="106" spans="1:16" x14ac:dyDescent="0.3">
      <c r="A106" t="s">
        <v>74</v>
      </c>
      <c r="B106">
        <v>4.5</v>
      </c>
      <c r="C106">
        <v>7.3</v>
      </c>
      <c r="D106" s="8">
        <v>85.3</v>
      </c>
      <c r="E106" s="14">
        <f>(Table1[[#This Row],[attendance_percent]]/100)</f>
        <v>0.85299999999999998</v>
      </c>
      <c r="F106">
        <v>51</v>
      </c>
      <c r="G106">
        <v>33.5</v>
      </c>
      <c r="H106">
        <f>ROUND(Table1[[#This Row],[exam_score]]/Table1[[#This Row],[hours_studied]], 2)</f>
        <v>7.44</v>
      </c>
      <c r="I106" s="8">
        <f>ROUND(Table1[[#This Row],[sleep_hours]]/Table1[[#This Row],[hours_studied]], 2)</f>
        <v>1.62</v>
      </c>
      <c r="J106" s="8">
        <f>Table1[[#This Row],[previous_scores]]+Table1[[#This Row],[exam_score]]</f>
        <v>84.5</v>
      </c>
      <c r="K106" s="7">
        <f t="shared" si="3"/>
        <v>-0.34313725490196079</v>
      </c>
      <c r="L106" s="9">
        <f>Table1[[#This Row],[previous_scores]]/Table1[[#This Row],[Total Scores]]</f>
        <v>0.60355029585798814</v>
      </c>
      <c r="M106" s="9">
        <f>Table1[[#This Row],[exam_score]]/Table1[[#This Row],[Total Scores]]</f>
        <v>0.39644970414201186</v>
      </c>
      <c r="N106" s="9">
        <f>Table1[[#This Row],[exam_score]]/Table1[[#This Row],[hours_studied]]</f>
        <v>7.4444444444444446</v>
      </c>
      <c r="O106" s="9">
        <f>(Table1[[#This Row],[previous_scores]]*Table1[[#This Row],[Weight of Previous Scores]])+(Table1[[#This Row],[exam_score]]*Table1[[#This Row],[Weight of Exam Score]])</f>
        <v>44.062130177514788</v>
      </c>
      <c r="P106" s="9" t="str">
        <f>IF(Table1[[#This Row],[Weighted Average]]&gt;=63, "High", IF(Table1[[#This Row],[Weighted Average]]&gt;=48, "Average", "Low"))</f>
        <v>Low</v>
      </c>
    </row>
    <row r="107" spans="1:16" x14ac:dyDescent="0.3">
      <c r="A107" t="s">
        <v>80</v>
      </c>
      <c r="B107">
        <v>8.1999999999999993</v>
      </c>
      <c r="C107">
        <v>4.7</v>
      </c>
      <c r="D107" s="8">
        <v>71</v>
      </c>
      <c r="E107" s="14">
        <f>(Table1[[#This Row],[attendance_percent]]/100)</f>
        <v>0.71</v>
      </c>
      <c r="F107">
        <v>57</v>
      </c>
      <c r="G107">
        <v>33.5</v>
      </c>
      <c r="H107">
        <f>ROUND(Table1[[#This Row],[exam_score]]/Table1[[#This Row],[hours_studied]], 2)</f>
        <v>4.09</v>
      </c>
      <c r="I107" s="8">
        <f>ROUND(Table1[[#This Row],[sleep_hours]]/Table1[[#This Row],[hours_studied]], 2)</f>
        <v>0.56999999999999995</v>
      </c>
      <c r="J107" s="8">
        <f>Table1[[#This Row],[previous_scores]]+Table1[[#This Row],[exam_score]]</f>
        <v>90.5</v>
      </c>
      <c r="K107" s="7">
        <f t="shared" si="3"/>
        <v>-0.41228070175438597</v>
      </c>
      <c r="L107" s="9">
        <f>Table1[[#This Row],[previous_scores]]/Table1[[#This Row],[Total Scores]]</f>
        <v>0.62983425414364635</v>
      </c>
      <c r="M107" s="9">
        <f>Table1[[#This Row],[exam_score]]/Table1[[#This Row],[Total Scores]]</f>
        <v>0.37016574585635359</v>
      </c>
      <c r="N107" s="9">
        <f>Table1[[#This Row],[exam_score]]/Table1[[#This Row],[hours_studied]]</f>
        <v>4.0853658536585371</v>
      </c>
      <c r="O107" s="9">
        <f>(Table1[[#This Row],[previous_scores]]*Table1[[#This Row],[Weight of Previous Scores]])+(Table1[[#This Row],[exam_score]]*Table1[[#This Row],[Weight of Exam Score]])</f>
        <v>48.301104972375683</v>
      </c>
      <c r="P107" s="9" t="str">
        <f>IF(Table1[[#This Row],[Weighted Average]]&gt;=63, "High", IF(Table1[[#This Row],[Weighted Average]]&gt;=48, "Average", "Low"))</f>
        <v>Average</v>
      </c>
    </row>
    <row r="108" spans="1:16" x14ac:dyDescent="0.3">
      <c r="A108" t="s">
        <v>159</v>
      </c>
      <c r="B108">
        <v>6.7</v>
      </c>
      <c r="C108">
        <v>4.5999999999999996</v>
      </c>
      <c r="D108" s="8">
        <v>88.6</v>
      </c>
      <c r="E108" s="14">
        <f>(Table1[[#This Row],[attendance_percent]]/100)</f>
        <v>0.8859999999999999</v>
      </c>
      <c r="F108">
        <v>50</v>
      </c>
      <c r="G108">
        <v>33.4</v>
      </c>
      <c r="H108">
        <f>ROUND(Table1[[#This Row],[exam_score]]/Table1[[#This Row],[hours_studied]], 2)</f>
        <v>4.99</v>
      </c>
      <c r="I108" s="8">
        <f>ROUND(Table1[[#This Row],[sleep_hours]]/Table1[[#This Row],[hours_studied]], 2)</f>
        <v>0.69</v>
      </c>
      <c r="J108" s="8">
        <f>Table1[[#This Row],[previous_scores]]+Table1[[#This Row],[exam_score]]</f>
        <v>83.4</v>
      </c>
      <c r="K108" s="7">
        <f t="shared" si="3"/>
        <v>-0.33200000000000002</v>
      </c>
      <c r="L108" s="9">
        <f>Table1[[#This Row],[previous_scores]]/Table1[[#This Row],[Total Scores]]</f>
        <v>0.5995203836930455</v>
      </c>
      <c r="M108" s="9">
        <f>Table1[[#This Row],[exam_score]]/Table1[[#This Row],[Total Scores]]</f>
        <v>0.40047961630695439</v>
      </c>
      <c r="N108" s="9">
        <f>Table1[[#This Row],[exam_score]]/Table1[[#This Row],[hours_studied]]</f>
        <v>4.9850746268656714</v>
      </c>
      <c r="O108" s="9">
        <f>(Table1[[#This Row],[previous_scores]]*Table1[[#This Row],[Weight of Previous Scores]])+(Table1[[#This Row],[exam_score]]*Table1[[#This Row],[Weight of Exam Score]])</f>
        <v>43.352038369304552</v>
      </c>
      <c r="P108" s="9" t="str">
        <f>IF(Table1[[#This Row],[Weighted Average]]&gt;=63, "High", IF(Table1[[#This Row],[Weighted Average]]&gt;=48, "Average", "Low"))</f>
        <v>Low</v>
      </c>
    </row>
    <row r="109" spans="1:16" x14ac:dyDescent="0.3">
      <c r="A109" t="s">
        <v>193</v>
      </c>
      <c r="B109">
        <v>3.7</v>
      </c>
      <c r="C109">
        <v>6.1</v>
      </c>
      <c r="D109" s="8">
        <v>80.5</v>
      </c>
      <c r="E109" s="14">
        <f>(Table1[[#This Row],[attendance_percent]]/100)</f>
        <v>0.80500000000000005</v>
      </c>
      <c r="F109">
        <v>92</v>
      </c>
      <c r="G109">
        <v>33.4</v>
      </c>
      <c r="H109">
        <f>ROUND(Table1[[#This Row],[exam_score]]/Table1[[#This Row],[hours_studied]], 2)</f>
        <v>9.0299999999999994</v>
      </c>
      <c r="I109" s="8">
        <f>ROUND(Table1[[#This Row],[sleep_hours]]/Table1[[#This Row],[hours_studied]], 2)</f>
        <v>1.65</v>
      </c>
      <c r="J109" s="8">
        <f>Table1[[#This Row],[previous_scores]]+Table1[[#This Row],[exam_score]]</f>
        <v>125.4</v>
      </c>
      <c r="K109" s="7">
        <f t="shared" si="3"/>
        <v>-0.63695652173913042</v>
      </c>
      <c r="L109" s="9">
        <f>Table1[[#This Row],[previous_scores]]/Table1[[#This Row],[Total Scores]]</f>
        <v>0.733652312599681</v>
      </c>
      <c r="M109" s="9">
        <f>Table1[[#This Row],[exam_score]]/Table1[[#This Row],[Total Scores]]</f>
        <v>0.26634768740031894</v>
      </c>
      <c r="N109" s="9">
        <f>Table1[[#This Row],[exam_score]]/Table1[[#This Row],[hours_studied]]</f>
        <v>9.0270270270270263</v>
      </c>
      <c r="O109" s="9">
        <f>(Table1[[#This Row],[previous_scores]]*Table1[[#This Row],[Weight of Previous Scores]])+(Table1[[#This Row],[exam_score]]*Table1[[#This Row],[Weight of Exam Score]])</f>
        <v>76.392025518341313</v>
      </c>
      <c r="P109" s="9" t="str">
        <f>IF(Table1[[#This Row],[Weighted Average]]&gt;=63, "High", IF(Table1[[#This Row],[Weighted Average]]&gt;=48, "Average", "Low"))</f>
        <v>High</v>
      </c>
    </row>
    <row r="110" spans="1:16" x14ac:dyDescent="0.3">
      <c r="A110" t="s">
        <v>64</v>
      </c>
      <c r="B110">
        <v>2.8</v>
      </c>
      <c r="C110">
        <v>5.3</v>
      </c>
      <c r="D110" s="8">
        <v>81.3</v>
      </c>
      <c r="E110" s="14">
        <f>(Table1[[#This Row],[attendance_percent]]/100)</f>
        <v>0.81299999999999994</v>
      </c>
      <c r="F110">
        <v>88</v>
      </c>
      <c r="G110">
        <v>33</v>
      </c>
      <c r="H110">
        <f>ROUND(Table1[[#This Row],[exam_score]]/Table1[[#This Row],[hours_studied]], 2)</f>
        <v>11.79</v>
      </c>
      <c r="I110" s="8">
        <f>ROUND(Table1[[#This Row],[sleep_hours]]/Table1[[#This Row],[hours_studied]], 2)</f>
        <v>1.89</v>
      </c>
      <c r="J110" s="8">
        <f>Table1[[#This Row],[previous_scores]]+Table1[[#This Row],[exam_score]]</f>
        <v>121</v>
      </c>
      <c r="K110" s="7">
        <f t="shared" si="3"/>
        <v>-0.625</v>
      </c>
      <c r="L110" s="9">
        <f>Table1[[#This Row],[previous_scores]]/Table1[[#This Row],[Total Scores]]</f>
        <v>0.72727272727272729</v>
      </c>
      <c r="M110" s="9">
        <f>Table1[[#This Row],[exam_score]]/Table1[[#This Row],[Total Scores]]</f>
        <v>0.27272727272727271</v>
      </c>
      <c r="N110" s="9">
        <f>Table1[[#This Row],[exam_score]]/Table1[[#This Row],[hours_studied]]</f>
        <v>11.785714285714286</v>
      </c>
      <c r="O110" s="9">
        <f>(Table1[[#This Row],[previous_scores]]*Table1[[#This Row],[Weight of Previous Scores]])+(Table1[[#This Row],[exam_score]]*Table1[[#This Row],[Weight of Exam Score]])</f>
        <v>73</v>
      </c>
      <c r="P110" s="9" t="str">
        <f>IF(Table1[[#This Row],[Weighted Average]]&gt;=63, "High", IF(Table1[[#This Row],[Weighted Average]]&gt;=48, "Average", "Low"))</f>
        <v>High</v>
      </c>
    </row>
    <row r="111" spans="1:16" x14ac:dyDescent="0.3">
      <c r="A111" t="s">
        <v>151</v>
      </c>
      <c r="B111">
        <v>3.3</v>
      </c>
      <c r="C111">
        <v>8.3000000000000007</v>
      </c>
      <c r="D111" s="8">
        <v>83.9</v>
      </c>
      <c r="E111" s="14">
        <f>(Table1[[#This Row],[attendance_percent]]/100)</f>
        <v>0.83900000000000008</v>
      </c>
      <c r="F111">
        <v>56</v>
      </c>
      <c r="G111">
        <v>33</v>
      </c>
      <c r="H111">
        <f>ROUND(Table1[[#This Row],[exam_score]]/Table1[[#This Row],[hours_studied]], 2)</f>
        <v>10</v>
      </c>
      <c r="I111" s="8">
        <f>ROUND(Table1[[#This Row],[sleep_hours]]/Table1[[#This Row],[hours_studied]], 2)</f>
        <v>2.52</v>
      </c>
      <c r="J111" s="8">
        <f>Table1[[#This Row],[previous_scores]]+Table1[[#This Row],[exam_score]]</f>
        <v>89</v>
      </c>
      <c r="K111" s="7">
        <f t="shared" si="3"/>
        <v>-0.4107142857142857</v>
      </c>
      <c r="L111" s="9">
        <f>Table1[[#This Row],[previous_scores]]/Table1[[#This Row],[Total Scores]]</f>
        <v>0.6292134831460674</v>
      </c>
      <c r="M111" s="9">
        <f>Table1[[#This Row],[exam_score]]/Table1[[#This Row],[Total Scores]]</f>
        <v>0.3707865168539326</v>
      </c>
      <c r="N111" s="9">
        <f>Table1[[#This Row],[exam_score]]/Table1[[#This Row],[hours_studied]]</f>
        <v>10</v>
      </c>
      <c r="O111" s="9">
        <f>(Table1[[#This Row],[previous_scores]]*Table1[[#This Row],[Weight of Previous Scores]])+(Table1[[#This Row],[exam_score]]*Table1[[#This Row],[Weight of Exam Score]])</f>
        <v>47.471910112359552</v>
      </c>
      <c r="P111" s="9" t="str">
        <f>IF(Table1[[#This Row],[Weighted Average]]&gt;=63, "High", IF(Table1[[#This Row],[Weighted Average]]&gt;=48, "Average", "Low"))</f>
        <v>Low</v>
      </c>
    </row>
    <row r="112" spans="1:16" x14ac:dyDescent="0.3">
      <c r="A112" t="s">
        <v>136</v>
      </c>
      <c r="B112">
        <v>4.4000000000000004</v>
      </c>
      <c r="C112">
        <v>8.1</v>
      </c>
      <c r="D112" s="8">
        <v>56.3</v>
      </c>
      <c r="E112" s="14">
        <f>(Table1[[#This Row],[attendance_percent]]/100)</f>
        <v>0.56299999999999994</v>
      </c>
      <c r="F112">
        <v>59</v>
      </c>
      <c r="G112">
        <v>32.9</v>
      </c>
      <c r="H112">
        <f>ROUND(Table1[[#This Row],[exam_score]]/Table1[[#This Row],[hours_studied]], 2)</f>
        <v>7.48</v>
      </c>
      <c r="I112" s="8">
        <f>ROUND(Table1[[#This Row],[sleep_hours]]/Table1[[#This Row],[hours_studied]], 2)</f>
        <v>1.84</v>
      </c>
      <c r="J112" s="8">
        <f>Table1[[#This Row],[previous_scores]]+Table1[[#This Row],[exam_score]]</f>
        <v>91.9</v>
      </c>
      <c r="K112" s="7">
        <f t="shared" si="3"/>
        <v>-0.44237288135593222</v>
      </c>
      <c r="L112" s="9">
        <f>Table1[[#This Row],[previous_scores]]/Table1[[#This Row],[Total Scores]]</f>
        <v>0.6420021762785636</v>
      </c>
      <c r="M112" s="9">
        <f>Table1[[#This Row],[exam_score]]/Table1[[#This Row],[Total Scores]]</f>
        <v>0.35799782372143629</v>
      </c>
      <c r="N112" s="9">
        <f>Table1[[#This Row],[exam_score]]/Table1[[#This Row],[hours_studied]]</f>
        <v>7.4772727272727266</v>
      </c>
      <c r="O112" s="9">
        <f>(Table1[[#This Row],[previous_scores]]*Table1[[#This Row],[Weight of Previous Scores]])+(Table1[[#This Row],[exam_score]]*Table1[[#This Row],[Weight of Exam Score]])</f>
        <v>49.656256800870509</v>
      </c>
      <c r="P112" s="9" t="str">
        <f>IF(Table1[[#This Row],[Weighted Average]]&gt;=63, "High", IF(Table1[[#This Row],[Weighted Average]]&gt;=48, "Average", "Low"))</f>
        <v>Average</v>
      </c>
    </row>
    <row r="113" spans="1:16" x14ac:dyDescent="0.3">
      <c r="A113" t="s">
        <v>109</v>
      </c>
      <c r="B113">
        <v>6.9</v>
      </c>
      <c r="C113">
        <v>6.9</v>
      </c>
      <c r="D113" s="8">
        <v>78.2</v>
      </c>
      <c r="E113" s="14">
        <f>(Table1[[#This Row],[attendance_percent]]/100)</f>
        <v>0.78200000000000003</v>
      </c>
      <c r="F113">
        <v>71</v>
      </c>
      <c r="G113">
        <v>32.6</v>
      </c>
      <c r="H113">
        <f>ROUND(Table1[[#This Row],[exam_score]]/Table1[[#This Row],[hours_studied]], 2)</f>
        <v>4.72</v>
      </c>
      <c r="I113" s="8">
        <f>ROUND(Table1[[#This Row],[sleep_hours]]/Table1[[#This Row],[hours_studied]], 2)</f>
        <v>1</v>
      </c>
      <c r="J113" s="8">
        <f>Table1[[#This Row],[previous_scores]]+Table1[[#This Row],[exam_score]]</f>
        <v>103.6</v>
      </c>
      <c r="K113" s="7">
        <f t="shared" si="3"/>
        <v>-0.54084507042253516</v>
      </c>
      <c r="L113" s="9">
        <f>Table1[[#This Row],[previous_scores]]/Table1[[#This Row],[Total Scores]]</f>
        <v>0.6853281853281854</v>
      </c>
      <c r="M113" s="9">
        <f>Table1[[#This Row],[exam_score]]/Table1[[#This Row],[Total Scores]]</f>
        <v>0.31467181467181471</v>
      </c>
      <c r="N113" s="9">
        <f>Table1[[#This Row],[exam_score]]/Table1[[#This Row],[hours_studied]]</f>
        <v>4.72463768115942</v>
      </c>
      <c r="O113" s="9">
        <f>(Table1[[#This Row],[previous_scores]]*Table1[[#This Row],[Weight of Previous Scores]])+(Table1[[#This Row],[exam_score]]*Table1[[#This Row],[Weight of Exam Score]])</f>
        <v>58.916602316602322</v>
      </c>
      <c r="P113" s="9" t="str">
        <f>IF(Table1[[#This Row],[Weighted Average]]&gt;=63, "High", IF(Table1[[#This Row],[Weighted Average]]&gt;=48, "Average", "Low"))</f>
        <v>Average</v>
      </c>
    </row>
    <row r="114" spans="1:16" x14ac:dyDescent="0.3">
      <c r="A114" t="s">
        <v>87</v>
      </c>
      <c r="B114">
        <v>3.9</v>
      </c>
      <c r="C114">
        <v>5</v>
      </c>
      <c r="D114" s="8">
        <v>50.3</v>
      </c>
      <c r="E114" s="14">
        <f>(Table1[[#This Row],[attendance_percent]]/100)</f>
        <v>0.503</v>
      </c>
      <c r="F114">
        <v>80</v>
      </c>
      <c r="G114">
        <v>32.4</v>
      </c>
      <c r="H114">
        <f>ROUND(Table1[[#This Row],[exam_score]]/Table1[[#This Row],[hours_studied]], 2)</f>
        <v>8.31</v>
      </c>
      <c r="I114" s="8">
        <f>ROUND(Table1[[#This Row],[sleep_hours]]/Table1[[#This Row],[hours_studied]], 2)</f>
        <v>1.28</v>
      </c>
      <c r="J114" s="8">
        <f>Table1[[#This Row],[previous_scores]]+Table1[[#This Row],[exam_score]]</f>
        <v>112.4</v>
      </c>
      <c r="K114" s="7">
        <f t="shared" si="3"/>
        <v>-0.59499999999999997</v>
      </c>
      <c r="L114" s="9">
        <f>Table1[[#This Row],[previous_scores]]/Table1[[#This Row],[Total Scores]]</f>
        <v>0.71174377224199281</v>
      </c>
      <c r="M114" s="9">
        <f>Table1[[#This Row],[exam_score]]/Table1[[#This Row],[Total Scores]]</f>
        <v>0.28825622775800708</v>
      </c>
      <c r="N114" s="9">
        <f>Table1[[#This Row],[exam_score]]/Table1[[#This Row],[hours_studied]]</f>
        <v>8.3076923076923084</v>
      </c>
      <c r="O114" s="9">
        <f>(Table1[[#This Row],[previous_scores]]*Table1[[#This Row],[Weight of Previous Scores]])+(Table1[[#This Row],[exam_score]]*Table1[[#This Row],[Weight of Exam Score]])</f>
        <v>66.279003558718856</v>
      </c>
      <c r="P114" s="9" t="str">
        <f>IF(Table1[[#This Row],[Weighted Average]]&gt;=63, "High", IF(Table1[[#This Row],[Weighted Average]]&gt;=48, "Average", "Low"))</f>
        <v>High</v>
      </c>
    </row>
    <row r="115" spans="1:16" x14ac:dyDescent="0.3">
      <c r="A115" t="s">
        <v>73</v>
      </c>
      <c r="B115">
        <v>1.4</v>
      </c>
      <c r="C115">
        <v>8.9</v>
      </c>
      <c r="D115" s="8">
        <v>84.7</v>
      </c>
      <c r="E115" s="14">
        <f>(Table1[[#This Row],[attendance_percent]]/100)</f>
        <v>0.84699999999999998</v>
      </c>
      <c r="F115">
        <v>63</v>
      </c>
      <c r="G115">
        <v>32.200000000000003</v>
      </c>
      <c r="H115">
        <f>ROUND(Table1[[#This Row],[exam_score]]/Table1[[#This Row],[hours_studied]], 2)</f>
        <v>23</v>
      </c>
      <c r="I115" s="8">
        <f>ROUND(Table1[[#This Row],[sleep_hours]]/Table1[[#This Row],[hours_studied]], 2)</f>
        <v>6.36</v>
      </c>
      <c r="J115" s="8">
        <f>Table1[[#This Row],[previous_scores]]+Table1[[#This Row],[exam_score]]</f>
        <v>95.2</v>
      </c>
      <c r="K115" s="7">
        <f t="shared" si="3"/>
        <v>-0.48888888888888882</v>
      </c>
      <c r="L115" s="9">
        <f>Table1[[#This Row],[previous_scores]]/Table1[[#This Row],[Total Scores]]</f>
        <v>0.66176470588235292</v>
      </c>
      <c r="M115" s="9">
        <f>Table1[[#This Row],[exam_score]]/Table1[[#This Row],[Total Scores]]</f>
        <v>0.33823529411764708</v>
      </c>
      <c r="N115" s="9">
        <f>Table1[[#This Row],[exam_score]]/Table1[[#This Row],[hours_studied]]</f>
        <v>23.000000000000004</v>
      </c>
      <c r="O115" s="9">
        <f>(Table1[[#This Row],[previous_scores]]*Table1[[#This Row],[Weight of Previous Scores]])+(Table1[[#This Row],[exam_score]]*Table1[[#This Row],[Weight of Exam Score]])</f>
        <v>52.582352941176467</v>
      </c>
      <c r="P115" s="9" t="str">
        <f>IF(Table1[[#This Row],[Weighted Average]]&gt;=63, "High", IF(Table1[[#This Row],[Weighted Average]]&gt;=48, "Average", "Low"))</f>
        <v>Average</v>
      </c>
    </row>
    <row r="116" spans="1:16" x14ac:dyDescent="0.3">
      <c r="A116" t="s">
        <v>196</v>
      </c>
      <c r="B116">
        <v>5.6</v>
      </c>
      <c r="C116">
        <v>8.5</v>
      </c>
      <c r="D116" s="8">
        <v>92.5</v>
      </c>
      <c r="E116" s="14">
        <f>(Table1[[#This Row],[attendance_percent]]/100)</f>
        <v>0.92500000000000004</v>
      </c>
      <c r="F116">
        <v>43</v>
      </c>
      <c r="G116">
        <v>32.200000000000003</v>
      </c>
      <c r="H116">
        <f>ROUND(Table1[[#This Row],[exam_score]]/Table1[[#This Row],[hours_studied]], 2)</f>
        <v>5.75</v>
      </c>
      <c r="I116" s="8">
        <f>ROUND(Table1[[#This Row],[sleep_hours]]/Table1[[#This Row],[hours_studied]], 2)</f>
        <v>1.52</v>
      </c>
      <c r="J116" s="8">
        <f>Table1[[#This Row],[previous_scores]]+Table1[[#This Row],[exam_score]]</f>
        <v>75.2</v>
      </c>
      <c r="K116" s="7">
        <f t="shared" si="3"/>
        <v>-0.25116279069767433</v>
      </c>
      <c r="L116" s="9">
        <f>Table1[[#This Row],[previous_scores]]/Table1[[#This Row],[Total Scores]]</f>
        <v>0.57180851063829785</v>
      </c>
      <c r="M116" s="9">
        <f>Table1[[#This Row],[exam_score]]/Table1[[#This Row],[Total Scores]]</f>
        <v>0.42819148936170215</v>
      </c>
      <c r="N116" s="9">
        <f>Table1[[#This Row],[exam_score]]/Table1[[#This Row],[hours_studied]]</f>
        <v>5.7500000000000009</v>
      </c>
      <c r="O116" s="9">
        <f>(Table1[[#This Row],[previous_scores]]*Table1[[#This Row],[Weight of Previous Scores]])+(Table1[[#This Row],[exam_score]]*Table1[[#This Row],[Weight of Exam Score]])</f>
        <v>38.375531914893621</v>
      </c>
      <c r="P116" s="9" t="str">
        <f>IF(Table1[[#This Row],[Weighted Average]]&gt;=63, "High", IF(Table1[[#This Row],[Weighted Average]]&gt;=48, "Average", "Low"))</f>
        <v>Low</v>
      </c>
    </row>
    <row r="117" spans="1:16" x14ac:dyDescent="0.3">
      <c r="A117" t="s">
        <v>94</v>
      </c>
      <c r="B117">
        <v>2</v>
      </c>
      <c r="C117">
        <v>6.1</v>
      </c>
      <c r="D117" s="8">
        <v>77.3</v>
      </c>
      <c r="E117" s="14">
        <f>(Table1[[#This Row],[attendance_percent]]/100)</f>
        <v>0.77300000000000002</v>
      </c>
      <c r="F117">
        <v>76</v>
      </c>
      <c r="G117">
        <v>32.1</v>
      </c>
      <c r="H117">
        <f>ROUND(Table1[[#This Row],[exam_score]]/Table1[[#This Row],[hours_studied]], 2)</f>
        <v>16.05</v>
      </c>
      <c r="I117" s="8">
        <f>ROUND(Table1[[#This Row],[sleep_hours]]/Table1[[#This Row],[hours_studied]], 2)</f>
        <v>3.05</v>
      </c>
      <c r="J117" s="8">
        <f>Table1[[#This Row],[previous_scores]]+Table1[[#This Row],[exam_score]]</f>
        <v>108.1</v>
      </c>
      <c r="K117" s="7">
        <f t="shared" si="3"/>
        <v>-0.57763157894736838</v>
      </c>
      <c r="L117" s="9">
        <f>Table1[[#This Row],[previous_scores]]/Table1[[#This Row],[Total Scores]]</f>
        <v>0.70305272895467164</v>
      </c>
      <c r="M117" s="9">
        <f>Table1[[#This Row],[exam_score]]/Table1[[#This Row],[Total Scores]]</f>
        <v>0.29694727104532842</v>
      </c>
      <c r="N117" s="9">
        <f>Table1[[#This Row],[exam_score]]/Table1[[#This Row],[hours_studied]]</f>
        <v>16.05</v>
      </c>
      <c r="O117" s="9">
        <f>(Table1[[#This Row],[previous_scores]]*Table1[[#This Row],[Weight of Previous Scores]])+(Table1[[#This Row],[exam_score]]*Table1[[#This Row],[Weight of Exam Score]])</f>
        <v>62.964014801110089</v>
      </c>
      <c r="P117" s="9" t="str">
        <f>IF(Table1[[#This Row],[Weighted Average]]&gt;=63, "High", IF(Table1[[#This Row],[Weighted Average]]&gt;=48, "Average", "Low"))</f>
        <v>Average</v>
      </c>
    </row>
    <row r="118" spans="1:16" x14ac:dyDescent="0.3">
      <c r="A118" t="s">
        <v>174</v>
      </c>
      <c r="B118">
        <v>3.4</v>
      </c>
      <c r="C118">
        <v>4</v>
      </c>
      <c r="D118" s="8">
        <v>81.8</v>
      </c>
      <c r="E118" s="14">
        <f>(Table1[[#This Row],[attendance_percent]]/100)</f>
        <v>0.81799999999999995</v>
      </c>
      <c r="F118">
        <v>69</v>
      </c>
      <c r="G118">
        <v>32.1</v>
      </c>
      <c r="H118">
        <f>ROUND(Table1[[#This Row],[exam_score]]/Table1[[#This Row],[hours_studied]], 2)</f>
        <v>9.44</v>
      </c>
      <c r="I118" s="8">
        <f>ROUND(Table1[[#This Row],[sleep_hours]]/Table1[[#This Row],[hours_studied]], 2)</f>
        <v>1.18</v>
      </c>
      <c r="J118" s="8">
        <f>Table1[[#This Row],[previous_scores]]+Table1[[#This Row],[exam_score]]</f>
        <v>101.1</v>
      </c>
      <c r="K118" s="7">
        <f t="shared" si="3"/>
        <v>-0.5347826086956522</v>
      </c>
      <c r="L118" s="9">
        <f>Table1[[#This Row],[previous_scores]]/Table1[[#This Row],[Total Scores]]</f>
        <v>0.68249258160237392</v>
      </c>
      <c r="M118" s="9">
        <f>Table1[[#This Row],[exam_score]]/Table1[[#This Row],[Total Scores]]</f>
        <v>0.31750741839762614</v>
      </c>
      <c r="N118" s="9">
        <f>Table1[[#This Row],[exam_score]]/Table1[[#This Row],[hours_studied]]</f>
        <v>9.4411764705882355</v>
      </c>
      <c r="O118" s="9">
        <f>(Table1[[#This Row],[previous_scores]]*Table1[[#This Row],[Weight of Previous Scores]])+(Table1[[#This Row],[exam_score]]*Table1[[#This Row],[Weight of Exam Score]])</f>
        <v>57.283976261127599</v>
      </c>
      <c r="P118" s="9" t="str">
        <f>IF(Table1[[#This Row],[Weighted Average]]&gt;=63, "High", IF(Table1[[#This Row],[Weighted Average]]&gt;=48, "Average", "Low"))</f>
        <v>Average</v>
      </c>
    </row>
    <row r="119" spans="1:16" x14ac:dyDescent="0.3">
      <c r="A119" t="s">
        <v>40</v>
      </c>
      <c r="B119">
        <v>5.2</v>
      </c>
      <c r="C119">
        <v>5.2</v>
      </c>
      <c r="D119" s="8">
        <v>75.900000000000006</v>
      </c>
      <c r="E119" s="14">
        <f>(Table1[[#This Row],[attendance_percent]]/100)</f>
        <v>0.75900000000000001</v>
      </c>
      <c r="F119">
        <v>62</v>
      </c>
      <c r="G119">
        <v>32</v>
      </c>
      <c r="H119">
        <f>ROUND(Table1[[#This Row],[exam_score]]/Table1[[#This Row],[hours_studied]], 2)</f>
        <v>6.15</v>
      </c>
      <c r="I119" s="8">
        <f>ROUND(Table1[[#This Row],[sleep_hours]]/Table1[[#This Row],[hours_studied]], 2)</f>
        <v>1</v>
      </c>
      <c r="J119" s="8">
        <f>Table1[[#This Row],[previous_scores]]+Table1[[#This Row],[exam_score]]</f>
        <v>94</v>
      </c>
      <c r="K119" s="7">
        <f t="shared" si="3"/>
        <v>-0.4838709677419355</v>
      </c>
      <c r="L119" s="9">
        <f>Table1[[#This Row],[previous_scores]]/Table1[[#This Row],[Total Scores]]</f>
        <v>0.65957446808510634</v>
      </c>
      <c r="M119" s="9">
        <f>Table1[[#This Row],[exam_score]]/Table1[[#This Row],[Total Scores]]</f>
        <v>0.34042553191489361</v>
      </c>
      <c r="N119" s="9">
        <f>Table1[[#This Row],[exam_score]]/Table1[[#This Row],[hours_studied]]</f>
        <v>6.1538461538461533</v>
      </c>
      <c r="O119" s="9">
        <f>(Table1[[#This Row],[previous_scores]]*Table1[[#This Row],[Weight of Previous Scores]])+(Table1[[#This Row],[exam_score]]*Table1[[#This Row],[Weight of Exam Score]])</f>
        <v>51.787234042553187</v>
      </c>
      <c r="P119" s="9" t="str">
        <f>IF(Table1[[#This Row],[Weighted Average]]&gt;=63, "High", IF(Table1[[#This Row],[Weighted Average]]&gt;=48, "Average", "Low"))</f>
        <v>Average</v>
      </c>
    </row>
    <row r="120" spans="1:16" x14ac:dyDescent="0.3">
      <c r="A120" t="s">
        <v>41</v>
      </c>
      <c r="B120">
        <v>7.1</v>
      </c>
      <c r="C120">
        <v>4.5999999999999996</v>
      </c>
      <c r="D120" s="8">
        <v>52.5</v>
      </c>
      <c r="E120" s="14">
        <f>(Table1[[#This Row],[attendance_percent]]/100)</f>
        <v>0.52500000000000002</v>
      </c>
      <c r="F120">
        <v>84</v>
      </c>
      <c r="G120">
        <v>32</v>
      </c>
      <c r="H120">
        <f>ROUND(Table1[[#This Row],[exam_score]]/Table1[[#This Row],[hours_studied]], 2)</f>
        <v>4.51</v>
      </c>
      <c r="I120" s="8">
        <f>ROUND(Table1[[#This Row],[sleep_hours]]/Table1[[#This Row],[hours_studied]], 2)</f>
        <v>0.65</v>
      </c>
      <c r="J120" s="8">
        <f>Table1[[#This Row],[previous_scores]]+Table1[[#This Row],[exam_score]]</f>
        <v>116</v>
      </c>
      <c r="K120" s="7">
        <f t="shared" si="3"/>
        <v>-0.61904761904761907</v>
      </c>
      <c r="L120" s="9">
        <f>Table1[[#This Row],[previous_scores]]/Table1[[#This Row],[Total Scores]]</f>
        <v>0.72413793103448276</v>
      </c>
      <c r="M120" s="9">
        <f>Table1[[#This Row],[exam_score]]/Table1[[#This Row],[Total Scores]]</f>
        <v>0.27586206896551724</v>
      </c>
      <c r="N120" s="9">
        <f>Table1[[#This Row],[exam_score]]/Table1[[#This Row],[hours_studied]]</f>
        <v>4.507042253521127</v>
      </c>
      <c r="O120" s="9">
        <f>(Table1[[#This Row],[previous_scores]]*Table1[[#This Row],[Weight of Previous Scores]])+(Table1[[#This Row],[exam_score]]*Table1[[#This Row],[Weight of Exam Score]])</f>
        <v>69.65517241379311</v>
      </c>
      <c r="P120" s="9" t="str">
        <f>IF(Table1[[#This Row],[Weighted Average]]&gt;=63, "High", IF(Table1[[#This Row],[Weighted Average]]&gt;=48, "Average", "Low"))</f>
        <v>High</v>
      </c>
    </row>
    <row r="121" spans="1:16" x14ac:dyDescent="0.3">
      <c r="A121" t="s">
        <v>51</v>
      </c>
      <c r="B121">
        <v>3.6</v>
      </c>
      <c r="C121">
        <v>7.6</v>
      </c>
      <c r="D121" s="8">
        <v>80.599999999999994</v>
      </c>
      <c r="E121" s="14">
        <f>(Table1[[#This Row],[attendance_percent]]/100)</f>
        <v>0.80599999999999994</v>
      </c>
      <c r="F121">
        <v>47</v>
      </c>
      <c r="G121">
        <v>31.8</v>
      </c>
      <c r="H121">
        <f>ROUND(Table1[[#This Row],[exam_score]]/Table1[[#This Row],[hours_studied]], 2)</f>
        <v>8.83</v>
      </c>
      <c r="I121" s="8">
        <f>ROUND(Table1[[#This Row],[sleep_hours]]/Table1[[#This Row],[hours_studied]], 2)</f>
        <v>2.11</v>
      </c>
      <c r="J121" s="8">
        <f>Table1[[#This Row],[previous_scores]]+Table1[[#This Row],[exam_score]]</f>
        <v>78.8</v>
      </c>
      <c r="K121" s="7">
        <f t="shared" si="3"/>
        <v>-0.3234042553191489</v>
      </c>
      <c r="L121" s="9">
        <f>Table1[[#This Row],[previous_scores]]/Table1[[#This Row],[Total Scores]]</f>
        <v>0.59644670050761428</v>
      </c>
      <c r="M121" s="9">
        <f>Table1[[#This Row],[exam_score]]/Table1[[#This Row],[Total Scores]]</f>
        <v>0.40355329949238583</v>
      </c>
      <c r="N121" s="9">
        <f>Table1[[#This Row],[exam_score]]/Table1[[#This Row],[hours_studied]]</f>
        <v>8.8333333333333339</v>
      </c>
      <c r="O121" s="9">
        <f>(Table1[[#This Row],[previous_scores]]*Table1[[#This Row],[Weight of Previous Scores]])+(Table1[[#This Row],[exam_score]]*Table1[[#This Row],[Weight of Exam Score]])</f>
        <v>40.865989847715738</v>
      </c>
      <c r="P121" s="9" t="str">
        <f>IF(Table1[[#This Row],[Weighted Average]]&gt;=63, "High", IF(Table1[[#This Row],[Weighted Average]]&gt;=48, "Average", "Low"))</f>
        <v>Low</v>
      </c>
    </row>
    <row r="122" spans="1:16" x14ac:dyDescent="0.3">
      <c r="A122" t="s">
        <v>52</v>
      </c>
      <c r="B122">
        <v>2.1</v>
      </c>
      <c r="C122">
        <v>5.2</v>
      </c>
      <c r="D122" s="8">
        <v>86</v>
      </c>
      <c r="E122" s="14">
        <f>(Table1[[#This Row],[attendance_percent]]/100)</f>
        <v>0.86</v>
      </c>
      <c r="F122">
        <v>87</v>
      </c>
      <c r="G122">
        <v>31.6</v>
      </c>
      <c r="H122">
        <f>ROUND(Table1[[#This Row],[exam_score]]/Table1[[#This Row],[hours_studied]], 2)</f>
        <v>15.05</v>
      </c>
      <c r="I122" s="8">
        <f>ROUND(Table1[[#This Row],[sleep_hours]]/Table1[[#This Row],[hours_studied]], 2)</f>
        <v>2.48</v>
      </c>
      <c r="J122" s="8">
        <f>Table1[[#This Row],[previous_scores]]+Table1[[#This Row],[exam_score]]</f>
        <v>118.6</v>
      </c>
      <c r="K122" s="7">
        <f t="shared" si="3"/>
        <v>-0.63678160919540228</v>
      </c>
      <c r="L122" s="9">
        <f>Table1[[#This Row],[previous_scores]]/Table1[[#This Row],[Total Scores]]</f>
        <v>0.73355817875210794</v>
      </c>
      <c r="M122" s="9">
        <f>Table1[[#This Row],[exam_score]]/Table1[[#This Row],[Total Scores]]</f>
        <v>0.26644182124789212</v>
      </c>
      <c r="N122" s="9">
        <f>Table1[[#This Row],[exam_score]]/Table1[[#This Row],[hours_studied]]</f>
        <v>15.047619047619047</v>
      </c>
      <c r="O122" s="9">
        <f>(Table1[[#This Row],[previous_scores]]*Table1[[#This Row],[Weight of Previous Scores]])+(Table1[[#This Row],[exam_score]]*Table1[[#This Row],[Weight of Exam Score]])</f>
        <v>72.239123102866785</v>
      </c>
      <c r="P122" s="9" t="str">
        <f>IF(Table1[[#This Row],[Weighted Average]]&gt;=63, "High", IF(Table1[[#This Row],[Weighted Average]]&gt;=48, "Average", "Low"))</f>
        <v>High</v>
      </c>
    </row>
    <row r="123" spans="1:16" x14ac:dyDescent="0.3">
      <c r="A123" t="s">
        <v>106</v>
      </c>
      <c r="B123">
        <v>1.1000000000000001</v>
      </c>
      <c r="C123">
        <v>8.5</v>
      </c>
      <c r="D123" s="8">
        <v>81.099999999999994</v>
      </c>
      <c r="E123" s="14">
        <f>(Table1[[#This Row],[attendance_percent]]/100)</f>
        <v>0.81099999999999994</v>
      </c>
      <c r="F123">
        <v>92</v>
      </c>
      <c r="G123">
        <v>31.4</v>
      </c>
      <c r="H123">
        <f>ROUND(Table1[[#This Row],[exam_score]]/Table1[[#This Row],[hours_studied]], 2)</f>
        <v>28.55</v>
      </c>
      <c r="I123" s="8">
        <f>ROUND(Table1[[#This Row],[sleep_hours]]/Table1[[#This Row],[hours_studied]], 2)</f>
        <v>7.73</v>
      </c>
      <c r="J123" s="8">
        <f>Table1[[#This Row],[previous_scores]]+Table1[[#This Row],[exam_score]]</f>
        <v>123.4</v>
      </c>
      <c r="K123" s="7">
        <f t="shared" si="3"/>
        <v>-0.65869565217391302</v>
      </c>
      <c r="L123" s="9">
        <f>Table1[[#This Row],[previous_scores]]/Table1[[#This Row],[Total Scores]]</f>
        <v>0.74554294975688817</v>
      </c>
      <c r="M123" s="9">
        <f>Table1[[#This Row],[exam_score]]/Table1[[#This Row],[Total Scores]]</f>
        <v>0.25445705024311183</v>
      </c>
      <c r="N123" s="9">
        <f>Table1[[#This Row],[exam_score]]/Table1[[#This Row],[hours_studied]]</f>
        <v>28.545454545454543</v>
      </c>
      <c r="O123" s="9">
        <f>(Table1[[#This Row],[previous_scores]]*Table1[[#This Row],[Weight of Previous Scores]])+(Table1[[#This Row],[exam_score]]*Table1[[#This Row],[Weight of Exam Score]])</f>
        <v>76.579902755267426</v>
      </c>
      <c r="P123" s="9" t="str">
        <f>IF(Table1[[#This Row],[Weighted Average]]&gt;=63, "High", IF(Table1[[#This Row],[Weighted Average]]&gt;=48, "Average", "Low"))</f>
        <v>High</v>
      </c>
    </row>
    <row r="124" spans="1:16" x14ac:dyDescent="0.3">
      <c r="A124" t="s">
        <v>167</v>
      </c>
      <c r="B124">
        <v>7.9</v>
      </c>
      <c r="C124">
        <v>5.6</v>
      </c>
      <c r="D124" s="8">
        <v>68.5</v>
      </c>
      <c r="E124" s="14">
        <f>(Table1[[#This Row],[attendance_percent]]/100)</f>
        <v>0.68500000000000005</v>
      </c>
      <c r="F124">
        <v>42</v>
      </c>
      <c r="G124">
        <v>31.4</v>
      </c>
      <c r="H124">
        <f>ROUND(Table1[[#This Row],[exam_score]]/Table1[[#This Row],[hours_studied]], 2)</f>
        <v>3.97</v>
      </c>
      <c r="I124" s="8">
        <f>ROUND(Table1[[#This Row],[sleep_hours]]/Table1[[#This Row],[hours_studied]], 2)</f>
        <v>0.71</v>
      </c>
      <c r="J124" s="8">
        <f>Table1[[#This Row],[previous_scores]]+Table1[[#This Row],[exam_score]]</f>
        <v>73.400000000000006</v>
      </c>
      <c r="K124" s="7">
        <f t="shared" si="3"/>
        <v>-0.25238095238095243</v>
      </c>
      <c r="L124" s="9">
        <f>Table1[[#This Row],[previous_scores]]/Table1[[#This Row],[Total Scores]]</f>
        <v>0.57220708446866475</v>
      </c>
      <c r="M124" s="9">
        <f>Table1[[#This Row],[exam_score]]/Table1[[#This Row],[Total Scores]]</f>
        <v>0.42779291553133508</v>
      </c>
      <c r="N124" s="9">
        <f>Table1[[#This Row],[exam_score]]/Table1[[#This Row],[hours_studied]]</f>
        <v>3.9746835443037969</v>
      </c>
      <c r="O124" s="9">
        <f>(Table1[[#This Row],[previous_scores]]*Table1[[#This Row],[Weight of Previous Scores]])+(Table1[[#This Row],[exam_score]]*Table1[[#This Row],[Weight of Exam Score]])</f>
        <v>37.465395095367839</v>
      </c>
      <c r="P124" s="9" t="str">
        <f>IF(Table1[[#This Row],[Weighted Average]]&gt;=63, "High", IF(Table1[[#This Row],[Weighted Average]]&gt;=48, "Average", "Low"))</f>
        <v>Low</v>
      </c>
    </row>
    <row r="125" spans="1:16" x14ac:dyDescent="0.3">
      <c r="A125" t="s">
        <v>185</v>
      </c>
      <c r="B125">
        <v>6.1</v>
      </c>
      <c r="C125">
        <v>8.1999999999999993</v>
      </c>
      <c r="D125" s="8">
        <v>86.6</v>
      </c>
      <c r="E125" s="14">
        <f>(Table1[[#This Row],[attendance_percent]]/100)</f>
        <v>0.86599999999999999</v>
      </c>
      <c r="F125">
        <v>52</v>
      </c>
      <c r="G125">
        <v>31.4</v>
      </c>
      <c r="H125">
        <f>ROUND(Table1[[#This Row],[exam_score]]/Table1[[#This Row],[hours_studied]], 2)</f>
        <v>5.15</v>
      </c>
      <c r="I125" s="8">
        <f>ROUND(Table1[[#This Row],[sleep_hours]]/Table1[[#This Row],[hours_studied]], 2)</f>
        <v>1.34</v>
      </c>
      <c r="J125" s="8">
        <f>Table1[[#This Row],[previous_scores]]+Table1[[#This Row],[exam_score]]</f>
        <v>83.4</v>
      </c>
      <c r="K125" s="7">
        <f t="shared" si="3"/>
        <v>-0.39615384615384619</v>
      </c>
      <c r="L125" s="9">
        <f>Table1[[#This Row],[previous_scores]]/Table1[[#This Row],[Total Scores]]</f>
        <v>0.6235011990407674</v>
      </c>
      <c r="M125" s="9">
        <f>Table1[[#This Row],[exam_score]]/Table1[[#This Row],[Total Scores]]</f>
        <v>0.37649880095923255</v>
      </c>
      <c r="N125" s="9">
        <f>Table1[[#This Row],[exam_score]]/Table1[[#This Row],[hours_studied]]</f>
        <v>5.1475409836065573</v>
      </c>
      <c r="O125" s="9">
        <f>(Table1[[#This Row],[previous_scores]]*Table1[[#This Row],[Weight of Previous Scores]])+(Table1[[#This Row],[exam_score]]*Table1[[#This Row],[Weight of Exam Score]])</f>
        <v>44.244124700239801</v>
      </c>
      <c r="P125" s="9" t="str">
        <f>IF(Table1[[#This Row],[Weighted Average]]&gt;=63, "High", IF(Table1[[#This Row],[Weighted Average]]&gt;=48, "Average", "Low"))</f>
        <v>Low</v>
      </c>
    </row>
    <row r="126" spans="1:16" x14ac:dyDescent="0.3">
      <c r="A126" t="s">
        <v>107</v>
      </c>
      <c r="B126">
        <v>8.9</v>
      </c>
      <c r="C126">
        <v>6.7</v>
      </c>
      <c r="D126" s="8">
        <v>51.3</v>
      </c>
      <c r="E126" s="14">
        <f>(Table1[[#This Row],[attendance_percent]]/100)</f>
        <v>0.51300000000000001</v>
      </c>
      <c r="F126">
        <v>44</v>
      </c>
      <c r="G126">
        <v>31.3</v>
      </c>
      <c r="H126">
        <f>ROUND(Table1[[#This Row],[exam_score]]/Table1[[#This Row],[hours_studied]], 2)</f>
        <v>3.52</v>
      </c>
      <c r="I126" s="8">
        <f>ROUND(Table1[[#This Row],[sleep_hours]]/Table1[[#This Row],[hours_studied]], 2)</f>
        <v>0.75</v>
      </c>
      <c r="J126" s="8">
        <f>Table1[[#This Row],[previous_scores]]+Table1[[#This Row],[exam_score]]</f>
        <v>75.3</v>
      </c>
      <c r="K126" s="7">
        <f t="shared" si="3"/>
        <v>-0.28863636363636364</v>
      </c>
      <c r="L126" s="9">
        <f>Table1[[#This Row],[previous_scores]]/Table1[[#This Row],[Total Scores]]</f>
        <v>0.58432934926958835</v>
      </c>
      <c r="M126" s="9">
        <f>Table1[[#This Row],[exam_score]]/Table1[[#This Row],[Total Scores]]</f>
        <v>0.41567065073041171</v>
      </c>
      <c r="N126" s="9">
        <f>Table1[[#This Row],[exam_score]]/Table1[[#This Row],[hours_studied]]</f>
        <v>3.5168539325842696</v>
      </c>
      <c r="O126" s="9">
        <f>(Table1[[#This Row],[previous_scores]]*Table1[[#This Row],[Weight of Previous Scores]])+(Table1[[#This Row],[exam_score]]*Table1[[#This Row],[Weight of Exam Score]])</f>
        <v>38.720982735723773</v>
      </c>
      <c r="P126" s="9" t="str">
        <f>IF(Table1[[#This Row],[Weighted Average]]&gt;=63, "High", IF(Table1[[#This Row],[Weighted Average]]&gt;=48, "Average", "Low"))</f>
        <v>Low</v>
      </c>
    </row>
    <row r="127" spans="1:16" x14ac:dyDescent="0.3">
      <c r="A127" t="s">
        <v>123</v>
      </c>
      <c r="B127">
        <v>8</v>
      </c>
      <c r="C127">
        <v>7.1</v>
      </c>
      <c r="D127" s="8">
        <v>54.1</v>
      </c>
      <c r="E127" s="14">
        <f>(Table1[[#This Row],[attendance_percent]]/100)</f>
        <v>0.54100000000000004</v>
      </c>
      <c r="F127">
        <v>75</v>
      </c>
      <c r="G127">
        <v>31.3</v>
      </c>
      <c r="H127">
        <f>ROUND(Table1[[#This Row],[exam_score]]/Table1[[#This Row],[hours_studied]], 2)</f>
        <v>3.91</v>
      </c>
      <c r="I127" s="8">
        <f>ROUND(Table1[[#This Row],[sleep_hours]]/Table1[[#This Row],[hours_studied]], 2)</f>
        <v>0.89</v>
      </c>
      <c r="J127" s="8">
        <f>Table1[[#This Row],[previous_scores]]+Table1[[#This Row],[exam_score]]</f>
        <v>106.3</v>
      </c>
      <c r="K127" s="7">
        <f t="shared" si="3"/>
        <v>-0.58266666666666667</v>
      </c>
      <c r="L127" s="9">
        <f>Table1[[#This Row],[previous_scores]]/Table1[[#This Row],[Total Scores]]</f>
        <v>0.70555032925682037</v>
      </c>
      <c r="M127" s="9">
        <f>Table1[[#This Row],[exam_score]]/Table1[[#This Row],[Total Scores]]</f>
        <v>0.29444967074317968</v>
      </c>
      <c r="N127" s="9">
        <f>Table1[[#This Row],[exam_score]]/Table1[[#This Row],[hours_studied]]</f>
        <v>3.9125000000000001</v>
      </c>
      <c r="O127" s="9">
        <f>(Table1[[#This Row],[previous_scores]]*Table1[[#This Row],[Weight of Previous Scores]])+(Table1[[#This Row],[exam_score]]*Table1[[#This Row],[Weight of Exam Score]])</f>
        <v>62.13254938852306</v>
      </c>
      <c r="P127" s="9" t="str">
        <f>IF(Table1[[#This Row],[Weighted Average]]&gt;=63, "High", IF(Table1[[#This Row],[Weighted Average]]&gt;=48, "Average", "Low"))</f>
        <v>Average</v>
      </c>
    </row>
    <row r="128" spans="1:16" x14ac:dyDescent="0.3">
      <c r="A128" t="s">
        <v>18</v>
      </c>
      <c r="B128">
        <v>1.3</v>
      </c>
      <c r="C128">
        <v>6.3</v>
      </c>
      <c r="D128" s="8">
        <v>83.6</v>
      </c>
      <c r="E128" s="14">
        <f>(Table1[[#This Row],[attendance_percent]]/100)</f>
        <v>0.83599999999999997</v>
      </c>
      <c r="F128">
        <v>71</v>
      </c>
      <c r="G128">
        <v>31.2</v>
      </c>
      <c r="H128">
        <f>ROUND(Table1[[#This Row],[exam_score]]/Table1[[#This Row],[hours_studied]], 2)</f>
        <v>24</v>
      </c>
      <c r="I128" s="8">
        <f>ROUND(Table1[[#This Row],[sleep_hours]]/Table1[[#This Row],[hours_studied]], 2)</f>
        <v>4.8499999999999996</v>
      </c>
      <c r="J128" s="8">
        <f>Table1[[#This Row],[previous_scores]]+Table1[[#This Row],[exam_score]]</f>
        <v>102.2</v>
      </c>
      <c r="K128" s="7">
        <f t="shared" si="3"/>
        <v>-0.56056338028169006</v>
      </c>
      <c r="L128" s="9">
        <f>Table1[[#This Row],[previous_scores]]/Table1[[#This Row],[Total Scores]]</f>
        <v>0.69471624266144816</v>
      </c>
      <c r="M128" s="9">
        <f>Table1[[#This Row],[exam_score]]/Table1[[#This Row],[Total Scores]]</f>
        <v>0.30528375733855184</v>
      </c>
      <c r="N128" s="9">
        <f>Table1[[#This Row],[exam_score]]/Table1[[#This Row],[hours_studied]]</f>
        <v>24</v>
      </c>
      <c r="O128" s="9">
        <f>(Table1[[#This Row],[previous_scores]]*Table1[[#This Row],[Weight of Previous Scores]])+(Table1[[#This Row],[exam_score]]*Table1[[#This Row],[Weight of Exam Score]])</f>
        <v>58.849706457925635</v>
      </c>
      <c r="P128" s="9" t="str">
        <f>IF(Table1[[#This Row],[Weighted Average]]&gt;=63, "High", IF(Table1[[#This Row],[Weighted Average]]&gt;=48, "Average", "Low"))</f>
        <v>Average</v>
      </c>
    </row>
    <row r="129" spans="1:16" x14ac:dyDescent="0.3">
      <c r="A129" t="s">
        <v>53</v>
      </c>
      <c r="B129">
        <v>4.0999999999999996</v>
      </c>
      <c r="C129">
        <v>6</v>
      </c>
      <c r="D129" s="8">
        <v>75.2</v>
      </c>
      <c r="E129" s="14">
        <f>(Table1[[#This Row],[attendance_percent]]/100)</f>
        <v>0.752</v>
      </c>
      <c r="F129">
        <v>74</v>
      </c>
      <c r="G129">
        <v>31.1</v>
      </c>
      <c r="H129">
        <f>ROUND(Table1[[#This Row],[exam_score]]/Table1[[#This Row],[hours_studied]], 2)</f>
        <v>7.59</v>
      </c>
      <c r="I129" s="8">
        <f>ROUND(Table1[[#This Row],[sleep_hours]]/Table1[[#This Row],[hours_studied]], 2)</f>
        <v>1.46</v>
      </c>
      <c r="J129" s="8">
        <f>Table1[[#This Row],[previous_scores]]+Table1[[#This Row],[exam_score]]</f>
        <v>105.1</v>
      </c>
      <c r="K129" s="7">
        <f t="shared" si="3"/>
        <v>-0.57972972972972969</v>
      </c>
      <c r="L129" s="9">
        <f>Table1[[#This Row],[previous_scores]]/Table1[[#This Row],[Total Scores]]</f>
        <v>0.70409134157944819</v>
      </c>
      <c r="M129" s="9">
        <f>Table1[[#This Row],[exam_score]]/Table1[[#This Row],[Total Scores]]</f>
        <v>0.29590865842055186</v>
      </c>
      <c r="N129" s="9">
        <f>Table1[[#This Row],[exam_score]]/Table1[[#This Row],[hours_studied]]</f>
        <v>7.585365853658538</v>
      </c>
      <c r="O129" s="9">
        <f>(Table1[[#This Row],[previous_scores]]*Table1[[#This Row],[Weight of Previous Scores]])+(Table1[[#This Row],[exam_score]]*Table1[[#This Row],[Weight of Exam Score]])</f>
        <v>61.305518553758333</v>
      </c>
      <c r="P129" s="9" t="str">
        <f>IF(Table1[[#This Row],[Weighted Average]]&gt;=63, "High", IF(Table1[[#This Row],[Weighted Average]]&gt;=48, "Average", "Low"))</f>
        <v>Average</v>
      </c>
    </row>
    <row r="130" spans="1:16" x14ac:dyDescent="0.3">
      <c r="A130" t="s">
        <v>177</v>
      </c>
      <c r="B130">
        <v>7.3</v>
      </c>
      <c r="C130">
        <v>7.6</v>
      </c>
      <c r="D130" s="8">
        <v>71.8</v>
      </c>
      <c r="E130" s="14">
        <f>(Table1[[#This Row],[attendance_percent]]/100)</f>
        <v>0.71799999999999997</v>
      </c>
      <c r="F130">
        <v>54</v>
      </c>
      <c r="G130">
        <v>31</v>
      </c>
      <c r="H130">
        <f>ROUND(Table1[[#This Row],[exam_score]]/Table1[[#This Row],[hours_studied]], 2)</f>
        <v>4.25</v>
      </c>
      <c r="I130" s="8">
        <f>ROUND(Table1[[#This Row],[sleep_hours]]/Table1[[#This Row],[hours_studied]], 2)</f>
        <v>1.04</v>
      </c>
      <c r="J130" s="8">
        <f>Table1[[#This Row],[previous_scores]]+Table1[[#This Row],[exam_score]]</f>
        <v>85</v>
      </c>
      <c r="K130" s="7">
        <f t="shared" ref="K130:K161" si="4">(G130-F130)/F130</f>
        <v>-0.42592592592592593</v>
      </c>
      <c r="L130" s="9">
        <f>Table1[[#This Row],[previous_scores]]/Table1[[#This Row],[Total Scores]]</f>
        <v>0.63529411764705879</v>
      </c>
      <c r="M130" s="9">
        <f>Table1[[#This Row],[exam_score]]/Table1[[#This Row],[Total Scores]]</f>
        <v>0.36470588235294116</v>
      </c>
      <c r="N130" s="9">
        <f>Table1[[#This Row],[exam_score]]/Table1[[#This Row],[hours_studied]]</f>
        <v>4.2465753424657535</v>
      </c>
      <c r="O130" s="9">
        <f>(Table1[[#This Row],[previous_scores]]*Table1[[#This Row],[Weight of Previous Scores]])+(Table1[[#This Row],[exam_score]]*Table1[[#This Row],[Weight of Exam Score]])</f>
        <v>45.611764705882351</v>
      </c>
      <c r="P130" s="9" t="str">
        <f>IF(Table1[[#This Row],[Weighted Average]]&gt;=63, "High", IF(Table1[[#This Row],[Weighted Average]]&gt;=48, "Average", "Low"))</f>
        <v>Low</v>
      </c>
    </row>
    <row r="131" spans="1:16" x14ac:dyDescent="0.3">
      <c r="A131" t="s">
        <v>178</v>
      </c>
      <c r="B131">
        <v>6.2</v>
      </c>
      <c r="C131">
        <v>7.7</v>
      </c>
      <c r="D131" s="8">
        <v>86.7</v>
      </c>
      <c r="E131" s="14">
        <f>(Table1[[#This Row],[attendance_percent]]/100)</f>
        <v>0.86699999999999999</v>
      </c>
      <c r="F131">
        <v>56</v>
      </c>
      <c r="G131">
        <v>31</v>
      </c>
      <c r="H131">
        <f>ROUND(Table1[[#This Row],[exam_score]]/Table1[[#This Row],[hours_studied]], 2)</f>
        <v>5</v>
      </c>
      <c r="I131" s="8">
        <f>ROUND(Table1[[#This Row],[sleep_hours]]/Table1[[#This Row],[hours_studied]], 2)</f>
        <v>1.24</v>
      </c>
      <c r="J131" s="8">
        <f>Table1[[#This Row],[previous_scores]]+Table1[[#This Row],[exam_score]]</f>
        <v>87</v>
      </c>
      <c r="K131" s="7">
        <f t="shared" si="4"/>
        <v>-0.44642857142857145</v>
      </c>
      <c r="L131" s="9">
        <f>Table1[[#This Row],[previous_scores]]/Table1[[#This Row],[Total Scores]]</f>
        <v>0.64367816091954022</v>
      </c>
      <c r="M131" s="9">
        <f>Table1[[#This Row],[exam_score]]/Table1[[#This Row],[Total Scores]]</f>
        <v>0.35632183908045978</v>
      </c>
      <c r="N131" s="9">
        <f>Table1[[#This Row],[exam_score]]/Table1[[#This Row],[hours_studied]]</f>
        <v>5</v>
      </c>
      <c r="O131" s="9">
        <f>(Table1[[#This Row],[previous_scores]]*Table1[[#This Row],[Weight of Previous Scores]])+(Table1[[#This Row],[exam_score]]*Table1[[#This Row],[Weight of Exam Score]])</f>
        <v>47.091954022988503</v>
      </c>
      <c r="P131" s="9" t="str">
        <f>IF(Table1[[#This Row],[Weighted Average]]&gt;=63, "High", IF(Table1[[#This Row],[Weighted Average]]&gt;=48, "Average", "Low"))</f>
        <v>Low</v>
      </c>
    </row>
    <row r="132" spans="1:16" x14ac:dyDescent="0.3">
      <c r="A132" t="s">
        <v>183</v>
      </c>
      <c r="B132">
        <v>5.7</v>
      </c>
      <c r="C132">
        <v>5.7</v>
      </c>
      <c r="D132" s="8">
        <v>74.2</v>
      </c>
      <c r="E132" s="14">
        <f>(Table1[[#This Row],[attendance_percent]]/100)</f>
        <v>0.74199999999999999</v>
      </c>
      <c r="F132">
        <v>82</v>
      </c>
      <c r="G132">
        <v>31</v>
      </c>
      <c r="H132">
        <f>ROUND(Table1[[#This Row],[exam_score]]/Table1[[#This Row],[hours_studied]], 2)</f>
        <v>5.44</v>
      </c>
      <c r="I132" s="8">
        <f>ROUND(Table1[[#This Row],[sleep_hours]]/Table1[[#This Row],[hours_studied]], 2)</f>
        <v>1</v>
      </c>
      <c r="J132" s="8">
        <f>Table1[[#This Row],[previous_scores]]+Table1[[#This Row],[exam_score]]</f>
        <v>113</v>
      </c>
      <c r="K132" s="7">
        <f t="shared" si="4"/>
        <v>-0.62195121951219512</v>
      </c>
      <c r="L132" s="9">
        <f>Table1[[#This Row],[previous_scores]]/Table1[[#This Row],[Total Scores]]</f>
        <v>0.72566371681415931</v>
      </c>
      <c r="M132" s="9">
        <f>Table1[[#This Row],[exam_score]]/Table1[[#This Row],[Total Scores]]</f>
        <v>0.27433628318584069</v>
      </c>
      <c r="N132" s="9">
        <f>Table1[[#This Row],[exam_score]]/Table1[[#This Row],[hours_studied]]</f>
        <v>5.4385964912280702</v>
      </c>
      <c r="O132" s="9">
        <f>(Table1[[#This Row],[previous_scores]]*Table1[[#This Row],[Weight of Previous Scores]])+(Table1[[#This Row],[exam_score]]*Table1[[#This Row],[Weight of Exam Score]])</f>
        <v>68.008849557522126</v>
      </c>
      <c r="P132" s="9" t="str">
        <f>IF(Table1[[#This Row],[Weighted Average]]&gt;=63, "High", IF(Table1[[#This Row],[Weighted Average]]&gt;=48, "Average", "Low"))</f>
        <v>High</v>
      </c>
    </row>
    <row r="133" spans="1:16" x14ac:dyDescent="0.3">
      <c r="A133" t="s">
        <v>86</v>
      </c>
      <c r="B133">
        <v>7.2</v>
      </c>
      <c r="C133">
        <v>7.6</v>
      </c>
      <c r="D133" s="8">
        <v>69</v>
      </c>
      <c r="E133" s="14">
        <f>(Table1[[#This Row],[attendance_percent]]/100)</f>
        <v>0.69</v>
      </c>
      <c r="F133">
        <v>48</v>
      </c>
      <c r="G133">
        <v>30.8</v>
      </c>
      <c r="H133">
        <f>ROUND(Table1[[#This Row],[exam_score]]/Table1[[#This Row],[hours_studied]], 2)</f>
        <v>4.28</v>
      </c>
      <c r="I133" s="8">
        <f>ROUND(Table1[[#This Row],[sleep_hours]]/Table1[[#This Row],[hours_studied]], 2)</f>
        <v>1.06</v>
      </c>
      <c r="J133" s="8">
        <f>Table1[[#This Row],[previous_scores]]+Table1[[#This Row],[exam_score]]</f>
        <v>78.8</v>
      </c>
      <c r="K133" s="7">
        <f t="shared" si="4"/>
        <v>-0.35833333333333334</v>
      </c>
      <c r="L133" s="9">
        <f>Table1[[#This Row],[previous_scores]]/Table1[[#This Row],[Total Scores]]</f>
        <v>0.6091370558375635</v>
      </c>
      <c r="M133" s="9">
        <f>Table1[[#This Row],[exam_score]]/Table1[[#This Row],[Total Scores]]</f>
        <v>0.39086294416243655</v>
      </c>
      <c r="N133" s="9">
        <f>Table1[[#This Row],[exam_score]]/Table1[[#This Row],[hours_studied]]</f>
        <v>4.2777777777777777</v>
      </c>
      <c r="O133" s="9">
        <f>(Table1[[#This Row],[previous_scores]]*Table1[[#This Row],[Weight of Previous Scores]])+(Table1[[#This Row],[exam_score]]*Table1[[#This Row],[Weight of Exam Score]])</f>
        <v>41.277157360406093</v>
      </c>
      <c r="P133" s="9" t="str">
        <f>IF(Table1[[#This Row],[Weighted Average]]&gt;=63, "High", IF(Table1[[#This Row],[Weighted Average]]&gt;=48, "Average", "Low"))</f>
        <v>Low</v>
      </c>
    </row>
    <row r="134" spans="1:16" x14ac:dyDescent="0.3">
      <c r="A134" t="s">
        <v>57</v>
      </c>
      <c r="B134">
        <v>3.3</v>
      </c>
      <c r="C134">
        <v>7.8</v>
      </c>
      <c r="D134" s="8">
        <v>87.2</v>
      </c>
      <c r="E134" s="14">
        <f>(Table1[[#This Row],[attendance_percent]]/100)</f>
        <v>0.872</v>
      </c>
      <c r="F134">
        <v>52</v>
      </c>
      <c r="G134">
        <v>30.7</v>
      </c>
      <c r="H134">
        <f>ROUND(Table1[[#This Row],[exam_score]]/Table1[[#This Row],[hours_studied]], 2)</f>
        <v>9.3000000000000007</v>
      </c>
      <c r="I134" s="8">
        <f>ROUND(Table1[[#This Row],[sleep_hours]]/Table1[[#This Row],[hours_studied]], 2)</f>
        <v>2.36</v>
      </c>
      <c r="J134" s="8">
        <f>Table1[[#This Row],[previous_scores]]+Table1[[#This Row],[exam_score]]</f>
        <v>82.7</v>
      </c>
      <c r="K134" s="7">
        <f t="shared" si="4"/>
        <v>-0.4096153846153846</v>
      </c>
      <c r="L134" s="9">
        <f>Table1[[#This Row],[previous_scores]]/Table1[[#This Row],[Total Scores]]</f>
        <v>0.62877871825876663</v>
      </c>
      <c r="M134" s="9">
        <f>Table1[[#This Row],[exam_score]]/Table1[[#This Row],[Total Scores]]</f>
        <v>0.37122128174123337</v>
      </c>
      <c r="N134" s="9">
        <f>Table1[[#This Row],[exam_score]]/Table1[[#This Row],[hours_studied]]</f>
        <v>9.3030303030303028</v>
      </c>
      <c r="O134" s="9">
        <f>(Table1[[#This Row],[previous_scores]]*Table1[[#This Row],[Weight of Previous Scores]])+(Table1[[#This Row],[exam_score]]*Table1[[#This Row],[Weight of Exam Score]])</f>
        <v>44.09298669891173</v>
      </c>
      <c r="P134" s="9" t="str">
        <f>IF(Table1[[#This Row],[Weighted Average]]&gt;=63, "High", IF(Table1[[#This Row],[Weighted Average]]&gt;=48, "Average", "Low"))</f>
        <v>Low</v>
      </c>
    </row>
    <row r="135" spans="1:16" x14ac:dyDescent="0.3">
      <c r="A135" t="s">
        <v>182</v>
      </c>
      <c r="B135">
        <v>2.1</v>
      </c>
      <c r="C135">
        <v>7.3</v>
      </c>
      <c r="D135" s="8">
        <v>76.900000000000006</v>
      </c>
      <c r="E135" s="14">
        <f>(Table1[[#This Row],[attendance_percent]]/100)</f>
        <v>0.76900000000000002</v>
      </c>
      <c r="F135">
        <v>77</v>
      </c>
      <c r="G135">
        <v>30.7</v>
      </c>
      <c r="H135">
        <f>ROUND(Table1[[#This Row],[exam_score]]/Table1[[#This Row],[hours_studied]], 2)</f>
        <v>14.62</v>
      </c>
      <c r="I135" s="8">
        <f>ROUND(Table1[[#This Row],[sleep_hours]]/Table1[[#This Row],[hours_studied]], 2)</f>
        <v>3.48</v>
      </c>
      <c r="J135" s="8">
        <f>Table1[[#This Row],[previous_scores]]+Table1[[#This Row],[exam_score]]</f>
        <v>107.7</v>
      </c>
      <c r="K135" s="7">
        <f t="shared" si="4"/>
        <v>-0.60129870129870122</v>
      </c>
      <c r="L135" s="9">
        <f>Table1[[#This Row],[previous_scores]]/Table1[[#This Row],[Total Scores]]</f>
        <v>0.71494893221912714</v>
      </c>
      <c r="M135" s="9">
        <f>Table1[[#This Row],[exam_score]]/Table1[[#This Row],[Total Scores]]</f>
        <v>0.2850510677808728</v>
      </c>
      <c r="N135" s="9">
        <f>Table1[[#This Row],[exam_score]]/Table1[[#This Row],[hours_studied]]</f>
        <v>14.619047619047619</v>
      </c>
      <c r="O135" s="9">
        <f>(Table1[[#This Row],[previous_scores]]*Table1[[#This Row],[Weight of Previous Scores]])+(Table1[[#This Row],[exam_score]]*Table1[[#This Row],[Weight of Exam Score]])</f>
        <v>63.802135561745587</v>
      </c>
      <c r="P135" s="9" t="str">
        <f>IF(Table1[[#This Row],[Weighted Average]]&gt;=63, "High", IF(Table1[[#This Row],[Weighted Average]]&gt;=48, "Average", "Low"))</f>
        <v>High</v>
      </c>
    </row>
    <row r="136" spans="1:16" x14ac:dyDescent="0.3">
      <c r="A136" t="s">
        <v>197</v>
      </c>
      <c r="B136">
        <v>4.0999999999999996</v>
      </c>
      <c r="C136">
        <v>7.1</v>
      </c>
      <c r="D136" s="8">
        <v>59.1</v>
      </c>
      <c r="E136" s="14">
        <f>(Table1[[#This Row],[attendance_percent]]/100)</f>
        <v>0.59099999999999997</v>
      </c>
      <c r="F136">
        <v>50</v>
      </c>
      <c r="G136">
        <v>30.7</v>
      </c>
      <c r="H136">
        <f>ROUND(Table1[[#This Row],[exam_score]]/Table1[[#This Row],[hours_studied]], 2)</f>
        <v>7.49</v>
      </c>
      <c r="I136" s="8">
        <f>ROUND(Table1[[#This Row],[sleep_hours]]/Table1[[#This Row],[hours_studied]], 2)</f>
        <v>1.73</v>
      </c>
      <c r="J136" s="8">
        <f>Table1[[#This Row],[previous_scores]]+Table1[[#This Row],[exam_score]]</f>
        <v>80.7</v>
      </c>
      <c r="K136" s="7">
        <f t="shared" si="4"/>
        <v>-0.38600000000000001</v>
      </c>
      <c r="L136" s="9">
        <f>Table1[[#This Row],[previous_scores]]/Table1[[#This Row],[Total Scores]]</f>
        <v>0.61957868649318459</v>
      </c>
      <c r="M136" s="9">
        <f>Table1[[#This Row],[exam_score]]/Table1[[#This Row],[Total Scores]]</f>
        <v>0.38042131350681535</v>
      </c>
      <c r="N136" s="9">
        <f>Table1[[#This Row],[exam_score]]/Table1[[#This Row],[hours_studied]]</f>
        <v>7.4878048780487809</v>
      </c>
      <c r="O136" s="9">
        <f>(Table1[[#This Row],[previous_scores]]*Table1[[#This Row],[Weight of Previous Scores]])+(Table1[[#This Row],[exam_score]]*Table1[[#This Row],[Weight of Exam Score]])</f>
        <v>42.657868649318459</v>
      </c>
      <c r="P136" s="9" t="str">
        <f>IF(Table1[[#This Row],[Weighted Average]]&gt;=63, "High", IF(Table1[[#This Row],[Weighted Average]]&gt;=48, "Average", "Low"))</f>
        <v>Low</v>
      </c>
    </row>
    <row r="137" spans="1:16" x14ac:dyDescent="0.3">
      <c r="A137" t="s">
        <v>55</v>
      </c>
      <c r="B137">
        <v>5</v>
      </c>
      <c r="C137">
        <v>5.5</v>
      </c>
      <c r="D137" s="8">
        <v>77.400000000000006</v>
      </c>
      <c r="E137" s="14">
        <f>(Table1[[#This Row],[attendance_percent]]/100)</f>
        <v>0.77400000000000002</v>
      </c>
      <c r="F137">
        <v>84</v>
      </c>
      <c r="G137">
        <v>30.6</v>
      </c>
      <c r="H137">
        <f>ROUND(Table1[[#This Row],[exam_score]]/Table1[[#This Row],[hours_studied]], 2)</f>
        <v>6.12</v>
      </c>
      <c r="I137" s="8">
        <f>ROUND(Table1[[#This Row],[sleep_hours]]/Table1[[#This Row],[hours_studied]], 2)</f>
        <v>1.1000000000000001</v>
      </c>
      <c r="J137" s="8">
        <f>Table1[[#This Row],[previous_scores]]+Table1[[#This Row],[exam_score]]</f>
        <v>114.6</v>
      </c>
      <c r="K137" s="7">
        <f t="shared" si="4"/>
        <v>-0.63571428571428568</v>
      </c>
      <c r="L137" s="9">
        <f>Table1[[#This Row],[previous_scores]]/Table1[[#This Row],[Total Scores]]</f>
        <v>0.73298429319371727</v>
      </c>
      <c r="M137" s="9">
        <f>Table1[[#This Row],[exam_score]]/Table1[[#This Row],[Total Scores]]</f>
        <v>0.26701570680628273</v>
      </c>
      <c r="N137" s="9">
        <f>Table1[[#This Row],[exam_score]]/Table1[[#This Row],[hours_studied]]</f>
        <v>6.12</v>
      </c>
      <c r="O137" s="9">
        <f>(Table1[[#This Row],[previous_scores]]*Table1[[#This Row],[Weight of Previous Scores]])+(Table1[[#This Row],[exam_score]]*Table1[[#This Row],[Weight of Exam Score]])</f>
        <v>69.741361256544508</v>
      </c>
      <c r="P137" s="9" t="str">
        <f>IF(Table1[[#This Row],[Weighted Average]]&gt;=63, "High", IF(Table1[[#This Row],[Weighted Average]]&gt;=48, "Average", "Low"))</f>
        <v>High</v>
      </c>
    </row>
    <row r="138" spans="1:16" x14ac:dyDescent="0.3">
      <c r="A138" t="s">
        <v>140</v>
      </c>
      <c r="B138">
        <v>1.9</v>
      </c>
      <c r="C138">
        <v>8.4</v>
      </c>
      <c r="D138" s="8">
        <v>85</v>
      </c>
      <c r="E138" s="14">
        <f>(Table1[[#This Row],[attendance_percent]]/100)</f>
        <v>0.85</v>
      </c>
      <c r="F138">
        <v>59</v>
      </c>
      <c r="G138">
        <v>30.6</v>
      </c>
      <c r="H138">
        <f>ROUND(Table1[[#This Row],[exam_score]]/Table1[[#This Row],[hours_studied]], 2)</f>
        <v>16.11</v>
      </c>
      <c r="I138" s="8">
        <f>ROUND(Table1[[#This Row],[sleep_hours]]/Table1[[#This Row],[hours_studied]], 2)</f>
        <v>4.42</v>
      </c>
      <c r="J138" s="8">
        <f>Table1[[#This Row],[previous_scores]]+Table1[[#This Row],[exam_score]]</f>
        <v>89.6</v>
      </c>
      <c r="K138" s="7">
        <f t="shared" si="4"/>
        <v>-0.48135593220338979</v>
      </c>
      <c r="L138" s="9">
        <f>Table1[[#This Row],[previous_scores]]/Table1[[#This Row],[Total Scores]]</f>
        <v>0.6584821428571429</v>
      </c>
      <c r="M138" s="9">
        <f>Table1[[#This Row],[exam_score]]/Table1[[#This Row],[Total Scores]]</f>
        <v>0.34151785714285721</v>
      </c>
      <c r="N138" s="9">
        <f>Table1[[#This Row],[exam_score]]/Table1[[#This Row],[hours_studied]]</f>
        <v>16.10526315789474</v>
      </c>
      <c r="O138" s="9">
        <f>(Table1[[#This Row],[previous_scores]]*Table1[[#This Row],[Weight of Previous Scores]])+(Table1[[#This Row],[exam_score]]*Table1[[#This Row],[Weight of Exam Score]])</f>
        <v>49.300892857142863</v>
      </c>
      <c r="P138" s="9" t="str">
        <f>IF(Table1[[#This Row],[Weighted Average]]&gt;=63, "High", IF(Table1[[#This Row],[Weighted Average]]&gt;=48, "Average", "Low"))</f>
        <v>Average</v>
      </c>
    </row>
    <row r="139" spans="1:16" x14ac:dyDescent="0.3">
      <c r="A139" t="s">
        <v>49</v>
      </c>
      <c r="B139">
        <v>4.2</v>
      </c>
      <c r="C139">
        <v>8.6999999999999993</v>
      </c>
      <c r="D139" s="8">
        <v>97.5</v>
      </c>
      <c r="E139" s="14">
        <f>(Table1[[#This Row],[attendance_percent]]/100)</f>
        <v>0.97499999999999998</v>
      </c>
      <c r="F139">
        <v>52</v>
      </c>
      <c r="G139">
        <v>30.3</v>
      </c>
      <c r="H139">
        <f>ROUND(Table1[[#This Row],[exam_score]]/Table1[[#This Row],[hours_studied]], 2)</f>
        <v>7.21</v>
      </c>
      <c r="I139" s="8">
        <f>ROUND(Table1[[#This Row],[sleep_hours]]/Table1[[#This Row],[hours_studied]], 2)</f>
        <v>2.0699999999999998</v>
      </c>
      <c r="J139" s="8">
        <f>Table1[[#This Row],[previous_scores]]+Table1[[#This Row],[exam_score]]</f>
        <v>82.3</v>
      </c>
      <c r="K139" s="7">
        <f t="shared" si="4"/>
        <v>-0.41730769230769227</v>
      </c>
      <c r="L139" s="9">
        <f>Table1[[#This Row],[previous_scores]]/Table1[[#This Row],[Total Scores]]</f>
        <v>0.63183475091130015</v>
      </c>
      <c r="M139" s="9">
        <f>Table1[[#This Row],[exam_score]]/Table1[[#This Row],[Total Scores]]</f>
        <v>0.36816524908869991</v>
      </c>
      <c r="N139" s="9">
        <f>Table1[[#This Row],[exam_score]]/Table1[[#This Row],[hours_studied]]</f>
        <v>7.2142857142857144</v>
      </c>
      <c r="O139" s="9">
        <f>(Table1[[#This Row],[previous_scores]]*Table1[[#This Row],[Weight of Previous Scores]])+(Table1[[#This Row],[exam_score]]*Table1[[#This Row],[Weight of Exam Score]])</f>
        <v>44.010814094775213</v>
      </c>
      <c r="P139" s="9" t="str">
        <f>IF(Table1[[#This Row],[Weighted Average]]&gt;=63, "High", IF(Table1[[#This Row],[Weighted Average]]&gt;=48, "Average", "Low"))</f>
        <v>Low</v>
      </c>
    </row>
    <row r="140" spans="1:16" x14ac:dyDescent="0.3">
      <c r="A140" t="s">
        <v>172</v>
      </c>
      <c r="B140">
        <v>3.6</v>
      </c>
      <c r="C140">
        <v>5.3</v>
      </c>
      <c r="D140" s="8">
        <v>55.3</v>
      </c>
      <c r="E140" s="14">
        <f>(Table1[[#This Row],[attendance_percent]]/100)</f>
        <v>0.55299999999999994</v>
      </c>
      <c r="F140">
        <v>84</v>
      </c>
      <c r="G140">
        <v>30.3</v>
      </c>
      <c r="H140">
        <f>ROUND(Table1[[#This Row],[exam_score]]/Table1[[#This Row],[hours_studied]], 2)</f>
        <v>8.42</v>
      </c>
      <c r="I140" s="8">
        <f>ROUND(Table1[[#This Row],[sleep_hours]]/Table1[[#This Row],[hours_studied]], 2)</f>
        <v>1.47</v>
      </c>
      <c r="J140" s="8">
        <f>Table1[[#This Row],[previous_scores]]+Table1[[#This Row],[exam_score]]</f>
        <v>114.3</v>
      </c>
      <c r="K140" s="7">
        <f t="shared" si="4"/>
        <v>-0.63928571428571435</v>
      </c>
      <c r="L140" s="9">
        <f>Table1[[#This Row],[previous_scores]]/Table1[[#This Row],[Total Scores]]</f>
        <v>0.73490813648293962</v>
      </c>
      <c r="M140" s="9">
        <f>Table1[[#This Row],[exam_score]]/Table1[[#This Row],[Total Scores]]</f>
        <v>0.26509186351706038</v>
      </c>
      <c r="N140" s="9">
        <f>Table1[[#This Row],[exam_score]]/Table1[[#This Row],[hours_studied]]</f>
        <v>8.4166666666666661</v>
      </c>
      <c r="O140" s="9">
        <f>(Table1[[#This Row],[previous_scores]]*Table1[[#This Row],[Weight of Previous Scores]])+(Table1[[#This Row],[exam_score]]*Table1[[#This Row],[Weight of Exam Score]])</f>
        <v>69.764566929133849</v>
      </c>
      <c r="P140" s="9" t="str">
        <f>IF(Table1[[#This Row],[Weighted Average]]&gt;=63, "High", IF(Table1[[#This Row],[Weighted Average]]&gt;=48, "Average", "Low"))</f>
        <v>High</v>
      </c>
    </row>
    <row r="141" spans="1:16" x14ac:dyDescent="0.3">
      <c r="A141" t="s">
        <v>6</v>
      </c>
      <c r="B141">
        <v>8</v>
      </c>
      <c r="C141">
        <v>8.8000000000000007</v>
      </c>
      <c r="D141" s="8">
        <v>72.099999999999994</v>
      </c>
      <c r="E141" s="14">
        <f>(Table1[[#This Row],[attendance_percent]]/100)</f>
        <v>0.72099999999999997</v>
      </c>
      <c r="F141">
        <v>45</v>
      </c>
      <c r="G141">
        <v>30.2</v>
      </c>
      <c r="H141">
        <f>ROUND(Table1[[#This Row],[exam_score]]/Table1[[#This Row],[hours_studied]], 2)</f>
        <v>3.78</v>
      </c>
      <c r="I141" s="8">
        <f>ROUND(Table1[[#This Row],[sleep_hours]]/Table1[[#This Row],[hours_studied]], 2)</f>
        <v>1.1000000000000001</v>
      </c>
      <c r="J141" s="8">
        <f>Table1[[#This Row],[previous_scores]]+Table1[[#This Row],[exam_score]]</f>
        <v>75.2</v>
      </c>
      <c r="K141" s="7">
        <f t="shared" si="4"/>
        <v>-0.3288888888888889</v>
      </c>
      <c r="L141" s="9">
        <f>Table1[[#This Row],[previous_scores]]/Table1[[#This Row],[Total Scores]]</f>
        <v>0.59840425531914887</v>
      </c>
      <c r="M141" s="9">
        <f>Table1[[#This Row],[exam_score]]/Table1[[#This Row],[Total Scores]]</f>
        <v>0.40159574468085102</v>
      </c>
      <c r="N141" s="9">
        <f>Table1[[#This Row],[exam_score]]/Table1[[#This Row],[hours_studied]]</f>
        <v>3.7749999999999999</v>
      </c>
      <c r="O141" s="9">
        <f>(Table1[[#This Row],[previous_scores]]*Table1[[#This Row],[Weight of Previous Scores]])+(Table1[[#This Row],[exam_score]]*Table1[[#This Row],[Weight of Exam Score]])</f>
        <v>39.056382978723398</v>
      </c>
      <c r="P141" s="9" t="str">
        <f>IF(Table1[[#This Row],[Weighted Average]]&gt;=63, "High", IF(Table1[[#This Row],[Weighted Average]]&gt;=48, "Average", "Low"))</f>
        <v>Low</v>
      </c>
    </row>
    <row r="142" spans="1:16" x14ac:dyDescent="0.3">
      <c r="A142" t="s">
        <v>19</v>
      </c>
      <c r="B142">
        <v>3.2</v>
      </c>
      <c r="C142">
        <v>6.1</v>
      </c>
      <c r="D142" s="8">
        <v>61.2</v>
      </c>
      <c r="E142" s="14">
        <f>(Table1[[#This Row],[attendance_percent]]/100)</f>
        <v>0.61199999999999999</v>
      </c>
      <c r="F142">
        <v>68</v>
      </c>
      <c r="G142">
        <v>30.2</v>
      </c>
      <c r="H142">
        <f>ROUND(Table1[[#This Row],[exam_score]]/Table1[[#This Row],[hours_studied]], 2)</f>
        <v>9.44</v>
      </c>
      <c r="I142" s="8">
        <f>ROUND(Table1[[#This Row],[sleep_hours]]/Table1[[#This Row],[hours_studied]], 2)</f>
        <v>1.91</v>
      </c>
      <c r="J142" s="8">
        <f>Table1[[#This Row],[previous_scores]]+Table1[[#This Row],[exam_score]]</f>
        <v>98.2</v>
      </c>
      <c r="K142" s="7">
        <f t="shared" si="4"/>
        <v>-0.55588235294117638</v>
      </c>
      <c r="L142" s="9">
        <f>Table1[[#This Row],[previous_scores]]/Table1[[#This Row],[Total Scores]]</f>
        <v>0.6924643584521385</v>
      </c>
      <c r="M142" s="9">
        <f>Table1[[#This Row],[exam_score]]/Table1[[#This Row],[Total Scores]]</f>
        <v>0.3075356415478615</v>
      </c>
      <c r="N142" s="9">
        <f>Table1[[#This Row],[exam_score]]/Table1[[#This Row],[hours_studied]]</f>
        <v>9.4375</v>
      </c>
      <c r="O142" s="9">
        <f>(Table1[[#This Row],[previous_scores]]*Table1[[#This Row],[Weight of Previous Scores]])+(Table1[[#This Row],[exam_score]]*Table1[[#This Row],[Weight of Exam Score]])</f>
        <v>56.375152749490837</v>
      </c>
      <c r="P142" s="9" t="str">
        <f>IF(Table1[[#This Row],[Weighted Average]]&gt;=63, "High", IF(Table1[[#This Row],[Weighted Average]]&gt;=48, "Average", "Low"))</f>
        <v>Average</v>
      </c>
    </row>
    <row r="143" spans="1:16" x14ac:dyDescent="0.3">
      <c r="A143" t="s">
        <v>171</v>
      </c>
      <c r="B143">
        <v>1.8</v>
      </c>
      <c r="C143">
        <v>6.9</v>
      </c>
      <c r="D143" s="8">
        <v>91.1</v>
      </c>
      <c r="E143" s="14">
        <f>(Table1[[#This Row],[attendance_percent]]/100)</f>
        <v>0.91099999999999992</v>
      </c>
      <c r="F143">
        <v>58</v>
      </c>
      <c r="G143">
        <v>30.1</v>
      </c>
      <c r="H143">
        <f>ROUND(Table1[[#This Row],[exam_score]]/Table1[[#This Row],[hours_studied]], 2)</f>
        <v>16.72</v>
      </c>
      <c r="I143" s="8">
        <f>ROUND(Table1[[#This Row],[sleep_hours]]/Table1[[#This Row],[hours_studied]], 2)</f>
        <v>3.83</v>
      </c>
      <c r="J143" s="8">
        <f>Table1[[#This Row],[previous_scores]]+Table1[[#This Row],[exam_score]]</f>
        <v>88.1</v>
      </c>
      <c r="K143" s="7">
        <f t="shared" si="4"/>
        <v>-0.48103448275862065</v>
      </c>
      <c r="L143" s="9">
        <f>Table1[[#This Row],[previous_scores]]/Table1[[#This Row],[Total Scores]]</f>
        <v>0.65834279228149839</v>
      </c>
      <c r="M143" s="9">
        <f>Table1[[#This Row],[exam_score]]/Table1[[#This Row],[Total Scores]]</f>
        <v>0.34165720771850172</v>
      </c>
      <c r="N143" s="9">
        <f>Table1[[#This Row],[exam_score]]/Table1[[#This Row],[hours_studied]]</f>
        <v>16.722222222222221</v>
      </c>
      <c r="O143" s="9">
        <f>(Table1[[#This Row],[previous_scores]]*Table1[[#This Row],[Weight of Previous Scores]])+(Table1[[#This Row],[exam_score]]*Table1[[#This Row],[Weight of Exam Score]])</f>
        <v>48.467763904653808</v>
      </c>
      <c r="P143" s="9" t="str">
        <f>IF(Table1[[#This Row],[Weighted Average]]&gt;=63, "High", IF(Table1[[#This Row],[Weighted Average]]&gt;=48, "Average", "Low"))</f>
        <v>Average</v>
      </c>
    </row>
    <row r="144" spans="1:16" x14ac:dyDescent="0.3">
      <c r="A144" t="s">
        <v>31</v>
      </c>
      <c r="B144">
        <v>4.7</v>
      </c>
      <c r="C144">
        <v>6.9</v>
      </c>
      <c r="D144" s="8">
        <v>62.2</v>
      </c>
      <c r="E144" s="14">
        <f>(Table1[[#This Row],[attendance_percent]]/100)</f>
        <v>0.622</v>
      </c>
      <c r="F144">
        <v>63</v>
      </c>
      <c r="G144">
        <v>30</v>
      </c>
      <c r="H144">
        <f>ROUND(Table1[[#This Row],[exam_score]]/Table1[[#This Row],[hours_studied]], 2)</f>
        <v>6.38</v>
      </c>
      <c r="I144" s="8">
        <f>ROUND(Table1[[#This Row],[sleep_hours]]/Table1[[#This Row],[hours_studied]], 2)</f>
        <v>1.47</v>
      </c>
      <c r="J144" s="8">
        <f>Table1[[#This Row],[previous_scores]]+Table1[[#This Row],[exam_score]]</f>
        <v>93</v>
      </c>
      <c r="K144" s="7">
        <f t="shared" si="4"/>
        <v>-0.52380952380952384</v>
      </c>
      <c r="L144" s="9">
        <f>Table1[[#This Row],[previous_scores]]/Table1[[#This Row],[Total Scores]]</f>
        <v>0.67741935483870963</v>
      </c>
      <c r="M144" s="9">
        <f>Table1[[#This Row],[exam_score]]/Table1[[#This Row],[Total Scores]]</f>
        <v>0.32258064516129031</v>
      </c>
      <c r="N144" s="9">
        <f>Table1[[#This Row],[exam_score]]/Table1[[#This Row],[hours_studied]]</f>
        <v>6.3829787234042552</v>
      </c>
      <c r="O144" s="9">
        <f>(Table1[[#This Row],[previous_scores]]*Table1[[#This Row],[Weight of Previous Scores]])+(Table1[[#This Row],[exam_score]]*Table1[[#This Row],[Weight of Exam Score]])</f>
        <v>52.354838709677416</v>
      </c>
      <c r="P144" s="9" t="str">
        <f>IF(Table1[[#This Row],[Weighted Average]]&gt;=63, "High", IF(Table1[[#This Row],[Weighted Average]]&gt;=48, "Average", "Low"))</f>
        <v>Average</v>
      </c>
    </row>
    <row r="145" spans="1:16" x14ac:dyDescent="0.3">
      <c r="A145" t="s">
        <v>168</v>
      </c>
      <c r="B145">
        <v>3.5</v>
      </c>
      <c r="C145">
        <v>7</v>
      </c>
      <c r="D145" s="8">
        <v>75.3</v>
      </c>
      <c r="E145" s="14">
        <f>(Table1[[#This Row],[attendance_percent]]/100)</f>
        <v>0.753</v>
      </c>
      <c r="F145">
        <v>54</v>
      </c>
      <c r="G145">
        <v>30</v>
      </c>
      <c r="H145">
        <f>ROUND(Table1[[#This Row],[exam_score]]/Table1[[#This Row],[hours_studied]], 2)</f>
        <v>8.57</v>
      </c>
      <c r="I145" s="8">
        <f>ROUND(Table1[[#This Row],[sleep_hours]]/Table1[[#This Row],[hours_studied]], 2)</f>
        <v>2</v>
      </c>
      <c r="J145" s="8">
        <f>Table1[[#This Row],[previous_scores]]+Table1[[#This Row],[exam_score]]</f>
        <v>84</v>
      </c>
      <c r="K145" s="7">
        <f t="shared" si="4"/>
        <v>-0.44444444444444442</v>
      </c>
      <c r="L145" s="9">
        <f>Table1[[#This Row],[previous_scores]]/Table1[[#This Row],[Total Scores]]</f>
        <v>0.6428571428571429</v>
      </c>
      <c r="M145" s="9">
        <f>Table1[[#This Row],[exam_score]]/Table1[[#This Row],[Total Scores]]</f>
        <v>0.35714285714285715</v>
      </c>
      <c r="N145" s="9">
        <f>Table1[[#This Row],[exam_score]]/Table1[[#This Row],[hours_studied]]</f>
        <v>8.5714285714285712</v>
      </c>
      <c r="O145" s="9">
        <f>(Table1[[#This Row],[previous_scores]]*Table1[[#This Row],[Weight of Previous Scores]])+(Table1[[#This Row],[exam_score]]*Table1[[#This Row],[Weight of Exam Score]])</f>
        <v>45.428571428571431</v>
      </c>
      <c r="P145" s="9" t="str">
        <f>IF(Table1[[#This Row],[Weighted Average]]&gt;=63, "High", IF(Table1[[#This Row],[Weighted Average]]&gt;=48, "Average", "Low"))</f>
        <v>Low</v>
      </c>
    </row>
    <row r="146" spans="1:16" x14ac:dyDescent="0.3">
      <c r="A146" t="s">
        <v>145</v>
      </c>
      <c r="B146">
        <v>2.4</v>
      </c>
      <c r="C146">
        <v>5.5</v>
      </c>
      <c r="D146" s="8">
        <v>55.7</v>
      </c>
      <c r="E146" s="14">
        <f>(Table1[[#This Row],[attendance_percent]]/100)</f>
        <v>0.55700000000000005</v>
      </c>
      <c r="F146">
        <v>87</v>
      </c>
      <c r="G146">
        <v>29.9</v>
      </c>
      <c r="H146">
        <f>ROUND(Table1[[#This Row],[exam_score]]/Table1[[#This Row],[hours_studied]], 2)</f>
        <v>12.46</v>
      </c>
      <c r="I146" s="8">
        <f>ROUND(Table1[[#This Row],[sleep_hours]]/Table1[[#This Row],[hours_studied]], 2)</f>
        <v>2.29</v>
      </c>
      <c r="J146" s="8">
        <f>Table1[[#This Row],[previous_scores]]+Table1[[#This Row],[exam_score]]</f>
        <v>116.9</v>
      </c>
      <c r="K146" s="7">
        <f t="shared" si="4"/>
        <v>-0.65632183908045982</v>
      </c>
      <c r="L146" s="9">
        <f>Table1[[#This Row],[previous_scores]]/Table1[[#This Row],[Total Scores]]</f>
        <v>0.74422583404619325</v>
      </c>
      <c r="M146" s="9">
        <f>Table1[[#This Row],[exam_score]]/Table1[[#This Row],[Total Scores]]</f>
        <v>0.25577416595380664</v>
      </c>
      <c r="N146" s="9">
        <f>Table1[[#This Row],[exam_score]]/Table1[[#This Row],[hours_studied]]</f>
        <v>12.458333333333334</v>
      </c>
      <c r="O146" s="9">
        <f>(Table1[[#This Row],[previous_scores]]*Table1[[#This Row],[Weight of Previous Scores]])+(Table1[[#This Row],[exam_score]]*Table1[[#This Row],[Weight of Exam Score]])</f>
        <v>72.395295124037631</v>
      </c>
      <c r="P146" s="9" t="str">
        <f>IF(Table1[[#This Row],[Weighted Average]]&gt;=63, "High", IF(Table1[[#This Row],[Weighted Average]]&gt;=48, "Average", "Low"))</f>
        <v>High</v>
      </c>
    </row>
    <row r="147" spans="1:16" x14ac:dyDescent="0.3">
      <c r="A147" t="s">
        <v>150</v>
      </c>
      <c r="B147">
        <v>5.7</v>
      </c>
      <c r="C147">
        <v>5.6</v>
      </c>
      <c r="D147" s="8">
        <v>65.599999999999994</v>
      </c>
      <c r="E147" s="14">
        <f>(Table1[[#This Row],[attendance_percent]]/100)</f>
        <v>0.65599999999999992</v>
      </c>
      <c r="F147">
        <v>53</v>
      </c>
      <c r="G147">
        <v>29.9</v>
      </c>
      <c r="H147">
        <f>ROUND(Table1[[#This Row],[exam_score]]/Table1[[#This Row],[hours_studied]], 2)</f>
        <v>5.25</v>
      </c>
      <c r="I147" s="8">
        <f>ROUND(Table1[[#This Row],[sleep_hours]]/Table1[[#This Row],[hours_studied]], 2)</f>
        <v>0.98</v>
      </c>
      <c r="J147" s="8">
        <f>Table1[[#This Row],[previous_scores]]+Table1[[#This Row],[exam_score]]</f>
        <v>82.9</v>
      </c>
      <c r="K147" s="7">
        <f t="shared" si="4"/>
        <v>-0.4358490566037736</v>
      </c>
      <c r="L147" s="9">
        <f>Table1[[#This Row],[previous_scores]]/Table1[[#This Row],[Total Scores]]</f>
        <v>0.63932448733413749</v>
      </c>
      <c r="M147" s="9">
        <f>Table1[[#This Row],[exam_score]]/Table1[[#This Row],[Total Scores]]</f>
        <v>0.36067551266586245</v>
      </c>
      <c r="N147" s="9">
        <f>Table1[[#This Row],[exam_score]]/Table1[[#This Row],[hours_studied]]</f>
        <v>5.2456140350877192</v>
      </c>
      <c r="O147" s="9">
        <f>(Table1[[#This Row],[previous_scores]]*Table1[[#This Row],[Weight of Previous Scores]])+(Table1[[#This Row],[exam_score]]*Table1[[#This Row],[Weight of Exam Score]])</f>
        <v>44.668395657418579</v>
      </c>
      <c r="P147" s="9" t="str">
        <f>IF(Table1[[#This Row],[Weighted Average]]&gt;=63, "High", IF(Table1[[#This Row],[Weighted Average]]&gt;=48, "Average", "Low"))</f>
        <v>Low</v>
      </c>
    </row>
    <row r="148" spans="1:16" x14ac:dyDescent="0.3">
      <c r="A148" t="s">
        <v>125</v>
      </c>
      <c r="B148">
        <v>2.7</v>
      </c>
      <c r="C148">
        <v>8.6</v>
      </c>
      <c r="D148" s="8">
        <v>77</v>
      </c>
      <c r="E148" s="14">
        <f>(Table1[[#This Row],[attendance_percent]]/100)</f>
        <v>0.77</v>
      </c>
      <c r="F148">
        <v>66</v>
      </c>
      <c r="G148">
        <v>29.8</v>
      </c>
      <c r="H148">
        <f>ROUND(Table1[[#This Row],[exam_score]]/Table1[[#This Row],[hours_studied]], 2)</f>
        <v>11.04</v>
      </c>
      <c r="I148" s="8">
        <f>ROUND(Table1[[#This Row],[sleep_hours]]/Table1[[#This Row],[hours_studied]], 2)</f>
        <v>3.19</v>
      </c>
      <c r="J148" s="8">
        <f>Table1[[#This Row],[previous_scores]]+Table1[[#This Row],[exam_score]]</f>
        <v>95.8</v>
      </c>
      <c r="K148" s="7">
        <f t="shared" si="4"/>
        <v>-0.54848484848484858</v>
      </c>
      <c r="L148" s="9">
        <f>Table1[[#This Row],[previous_scores]]/Table1[[#This Row],[Total Scores]]</f>
        <v>0.6889352818371608</v>
      </c>
      <c r="M148" s="9">
        <f>Table1[[#This Row],[exam_score]]/Table1[[#This Row],[Total Scores]]</f>
        <v>0.31106471816283926</v>
      </c>
      <c r="N148" s="9">
        <f>Table1[[#This Row],[exam_score]]/Table1[[#This Row],[hours_studied]]</f>
        <v>11.037037037037036</v>
      </c>
      <c r="O148" s="9">
        <f>(Table1[[#This Row],[previous_scores]]*Table1[[#This Row],[Weight of Previous Scores]])+(Table1[[#This Row],[exam_score]]*Table1[[#This Row],[Weight of Exam Score]])</f>
        <v>54.739457202505221</v>
      </c>
      <c r="P148" s="9" t="str">
        <f>IF(Table1[[#This Row],[Weighted Average]]&gt;=63, "High", IF(Table1[[#This Row],[Weighted Average]]&gt;=48, "Average", "Low"))</f>
        <v>Average</v>
      </c>
    </row>
    <row r="149" spans="1:16" x14ac:dyDescent="0.3">
      <c r="A149" t="s">
        <v>160</v>
      </c>
      <c r="B149">
        <v>2.2999999999999998</v>
      </c>
      <c r="C149">
        <v>8.9</v>
      </c>
      <c r="D149" s="8">
        <v>92.5</v>
      </c>
      <c r="E149" s="14">
        <f>(Table1[[#This Row],[attendance_percent]]/100)</f>
        <v>0.92500000000000004</v>
      </c>
      <c r="F149">
        <v>40</v>
      </c>
      <c r="G149">
        <v>29.7</v>
      </c>
      <c r="H149">
        <f>ROUND(Table1[[#This Row],[exam_score]]/Table1[[#This Row],[hours_studied]], 2)</f>
        <v>12.91</v>
      </c>
      <c r="I149" s="8">
        <f>ROUND(Table1[[#This Row],[sleep_hours]]/Table1[[#This Row],[hours_studied]], 2)</f>
        <v>3.87</v>
      </c>
      <c r="J149" s="8">
        <f>Table1[[#This Row],[previous_scores]]+Table1[[#This Row],[exam_score]]</f>
        <v>69.7</v>
      </c>
      <c r="K149" s="7">
        <f t="shared" si="4"/>
        <v>-0.25750000000000001</v>
      </c>
      <c r="L149" s="9">
        <f>Table1[[#This Row],[previous_scores]]/Table1[[#This Row],[Total Scores]]</f>
        <v>0.57388809182209466</v>
      </c>
      <c r="M149" s="9">
        <f>Table1[[#This Row],[exam_score]]/Table1[[#This Row],[Total Scores]]</f>
        <v>0.42611190817790529</v>
      </c>
      <c r="N149" s="9">
        <f>Table1[[#This Row],[exam_score]]/Table1[[#This Row],[hours_studied]]</f>
        <v>12.913043478260871</v>
      </c>
      <c r="O149" s="9">
        <f>(Table1[[#This Row],[previous_scores]]*Table1[[#This Row],[Weight of Previous Scores]])+(Table1[[#This Row],[exam_score]]*Table1[[#This Row],[Weight of Exam Score]])</f>
        <v>35.611047345767574</v>
      </c>
      <c r="P149" s="9" t="str">
        <f>IF(Table1[[#This Row],[Weighted Average]]&gt;=63, "High", IF(Table1[[#This Row],[Weighted Average]]&gt;=48, "Average", "Low"))</f>
        <v>Low</v>
      </c>
    </row>
    <row r="150" spans="1:16" x14ac:dyDescent="0.3">
      <c r="A150" t="s">
        <v>28</v>
      </c>
      <c r="B150">
        <v>4.7</v>
      </c>
      <c r="C150">
        <v>6.7</v>
      </c>
      <c r="D150" s="8">
        <v>59.7</v>
      </c>
      <c r="E150" s="14">
        <f>(Table1[[#This Row],[attendance_percent]]/100)</f>
        <v>0.59699999999999998</v>
      </c>
      <c r="F150">
        <v>59</v>
      </c>
      <c r="G150">
        <v>29.6</v>
      </c>
      <c r="H150">
        <f>ROUND(Table1[[#This Row],[exam_score]]/Table1[[#This Row],[hours_studied]], 2)</f>
        <v>6.3</v>
      </c>
      <c r="I150" s="8">
        <f>ROUND(Table1[[#This Row],[sleep_hours]]/Table1[[#This Row],[hours_studied]], 2)</f>
        <v>1.43</v>
      </c>
      <c r="J150" s="8">
        <f>Table1[[#This Row],[previous_scores]]+Table1[[#This Row],[exam_score]]</f>
        <v>88.6</v>
      </c>
      <c r="K150" s="7">
        <f t="shared" si="4"/>
        <v>-0.49830508474576268</v>
      </c>
      <c r="L150" s="9">
        <f>Table1[[#This Row],[previous_scores]]/Table1[[#This Row],[Total Scores]]</f>
        <v>0.66591422121896171</v>
      </c>
      <c r="M150" s="9">
        <f>Table1[[#This Row],[exam_score]]/Table1[[#This Row],[Total Scores]]</f>
        <v>0.3340857787810384</v>
      </c>
      <c r="N150" s="9">
        <f>Table1[[#This Row],[exam_score]]/Table1[[#This Row],[hours_studied]]</f>
        <v>6.2978723404255321</v>
      </c>
      <c r="O150" s="9">
        <f>(Table1[[#This Row],[previous_scores]]*Table1[[#This Row],[Weight of Previous Scores]])+(Table1[[#This Row],[exam_score]]*Table1[[#This Row],[Weight of Exam Score]])</f>
        <v>49.177878103837472</v>
      </c>
      <c r="P150" s="9" t="str">
        <f>IF(Table1[[#This Row],[Weighted Average]]&gt;=63, "High", IF(Table1[[#This Row],[Weighted Average]]&gt;=48, "Average", "Low"))</f>
        <v>Average</v>
      </c>
    </row>
    <row r="151" spans="1:16" x14ac:dyDescent="0.3">
      <c r="A151" t="s">
        <v>79</v>
      </c>
      <c r="B151">
        <v>4.5</v>
      </c>
      <c r="C151">
        <v>8.6999999999999993</v>
      </c>
      <c r="D151" s="8">
        <v>60.3</v>
      </c>
      <c r="E151" s="14">
        <f>(Table1[[#This Row],[attendance_percent]]/100)</f>
        <v>0.60299999999999998</v>
      </c>
      <c r="F151">
        <v>48</v>
      </c>
      <c r="G151">
        <v>29.5</v>
      </c>
      <c r="H151">
        <f>ROUND(Table1[[#This Row],[exam_score]]/Table1[[#This Row],[hours_studied]], 2)</f>
        <v>6.56</v>
      </c>
      <c r="I151" s="8">
        <f>ROUND(Table1[[#This Row],[sleep_hours]]/Table1[[#This Row],[hours_studied]], 2)</f>
        <v>1.93</v>
      </c>
      <c r="J151" s="8">
        <f>Table1[[#This Row],[previous_scores]]+Table1[[#This Row],[exam_score]]</f>
        <v>77.5</v>
      </c>
      <c r="K151" s="7">
        <f t="shared" si="4"/>
        <v>-0.38541666666666669</v>
      </c>
      <c r="L151" s="9">
        <f>Table1[[#This Row],[previous_scores]]/Table1[[#This Row],[Total Scores]]</f>
        <v>0.61935483870967745</v>
      </c>
      <c r="M151" s="9">
        <f>Table1[[#This Row],[exam_score]]/Table1[[#This Row],[Total Scores]]</f>
        <v>0.38064516129032255</v>
      </c>
      <c r="N151" s="9">
        <f>Table1[[#This Row],[exam_score]]/Table1[[#This Row],[hours_studied]]</f>
        <v>6.5555555555555554</v>
      </c>
      <c r="O151" s="9">
        <f>(Table1[[#This Row],[previous_scores]]*Table1[[#This Row],[Weight of Previous Scores]])+(Table1[[#This Row],[exam_score]]*Table1[[#This Row],[Weight of Exam Score]])</f>
        <v>40.958064516129035</v>
      </c>
      <c r="P151" s="9" t="str">
        <f>IF(Table1[[#This Row],[Weighted Average]]&gt;=63, "High", IF(Table1[[#This Row],[Weighted Average]]&gt;=48, "Average", "Low"))</f>
        <v>Low</v>
      </c>
    </row>
    <row r="152" spans="1:16" x14ac:dyDescent="0.3">
      <c r="A152" t="s">
        <v>164</v>
      </c>
      <c r="B152">
        <v>3.5</v>
      </c>
      <c r="C152">
        <v>4.5</v>
      </c>
      <c r="D152" s="8">
        <v>89.1</v>
      </c>
      <c r="E152" s="14">
        <f>(Table1[[#This Row],[attendance_percent]]/100)</f>
        <v>0.8909999999999999</v>
      </c>
      <c r="F152">
        <v>78</v>
      </c>
      <c r="G152">
        <v>29.5</v>
      </c>
      <c r="H152">
        <f>ROUND(Table1[[#This Row],[exam_score]]/Table1[[#This Row],[hours_studied]], 2)</f>
        <v>8.43</v>
      </c>
      <c r="I152" s="8">
        <f>ROUND(Table1[[#This Row],[sleep_hours]]/Table1[[#This Row],[hours_studied]], 2)</f>
        <v>1.29</v>
      </c>
      <c r="J152" s="8">
        <f>Table1[[#This Row],[previous_scores]]+Table1[[#This Row],[exam_score]]</f>
        <v>107.5</v>
      </c>
      <c r="K152" s="7">
        <f t="shared" si="4"/>
        <v>-0.62179487179487181</v>
      </c>
      <c r="L152" s="9">
        <f>Table1[[#This Row],[previous_scores]]/Table1[[#This Row],[Total Scores]]</f>
        <v>0.72558139534883725</v>
      </c>
      <c r="M152" s="9">
        <f>Table1[[#This Row],[exam_score]]/Table1[[#This Row],[Total Scores]]</f>
        <v>0.2744186046511628</v>
      </c>
      <c r="N152" s="9">
        <f>Table1[[#This Row],[exam_score]]/Table1[[#This Row],[hours_studied]]</f>
        <v>8.4285714285714288</v>
      </c>
      <c r="O152" s="9">
        <f>(Table1[[#This Row],[previous_scores]]*Table1[[#This Row],[Weight of Previous Scores]])+(Table1[[#This Row],[exam_score]]*Table1[[#This Row],[Weight of Exam Score]])</f>
        <v>64.690697674418615</v>
      </c>
      <c r="P152" s="9" t="str">
        <f>IF(Table1[[#This Row],[Weighted Average]]&gt;=63, "High", IF(Table1[[#This Row],[Weighted Average]]&gt;=48, "Average", "Low"))</f>
        <v>High</v>
      </c>
    </row>
    <row r="153" spans="1:16" x14ac:dyDescent="0.3">
      <c r="A153" t="s">
        <v>16</v>
      </c>
      <c r="B153">
        <v>3.4</v>
      </c>
      <c r="C153">
        <v>5.3</v>
      </c>
      <c r="D153" s="8">
        <v>90.9</v>
      </c>
      <c r="E153" s="14">
        <f>(Table1[[#This Row],[attendance_percent]]/100)</f>
        <v>0.90900000000000003</v>
      </c>
      <c r="F153">
        <v>81</v>
      </c>
      <c r="G153">
        <v>29.3</v>
      </c>
      <c r="H153">
        <f>ROUND(Table1[[#This Row],[exam_score]]/Table1[[#This Row],[hours_studied]], 2)</f>
        <v>8.6199999999999992</v>
      </c>
      <c r="I153" s="8">
        <f>ROUND(Table1[[#This Row],[sleep_hours]]/Table1[[#This Row],[hours_studied]], 2)</f>
        <v>1.56</v>
      </c>
      <c r="J153" s="8">
        <f>Table1[[#This Row],[previous_scores]]+Table1[[#This Row],[exam_score]]</f>
        <v>110.3</v>
      </c>
      <c r="K153" s="7">
        <f t="shared" si="4"/>
        <v>-0.63827160493827162</v>
      </c>
      <c r="L153" s="9">
        <f>Table1[[#This Row],[previous_scores]]/Table1[[#This Row],[Total Scores]]</f>
        <v>0.73436083408884867</v>
      </c>
      <c r="M153" s="9">
        <f>Table1[[#This Row],[exam_score]]/Table1[[#This Row],[Total Scores]]</f>
        <v>0.26563916591115144</v>
      </c>
      <c r="N153" s="9">
        <f>Table1[[#This Row],[exam_score]]/Table1[[#This Row],[hours_studied]]</f>
        <v>8.617647058823529</v>
      </c>
      <c r="O153" s="9">
        <f>(Table1[[#This Row],[previous_scores]]*Table1[[#This Row],[Weight of Previous Scores]])+(Table1[[#This Row],[exam_score]]*Table1[[#This Row],[Weight of Exam Score]])</f>
        <v>67.266455122393481</v>
      </c>
      <c r="P153" s="9" t="str">
        <f>IF(Table1[[#This Row],[Weighted Average]]&gt;=63, "High", IF(Table1[[#This Row],[Weighted Average]]&gt;=48, "Average", "Low"))</f>
        <v>High</v>
      </c>
    </row>
    <row r="154" spans="1:16" x14ac:dyDescent="0.3">
      <c r="A154" t="s">
        <v>65</v>
      </c>
      <c r="B154">
        <v>5.2</v>
      </c>
      <c r="C154">
        <v>8.6999999999999993</v>
      </c>
      <c r="D154" s="8">
        <v>63.7</v>
      </c>
      <c r="E154" s="14">
        <f>(Table1[[#This Row],[attendance_percent]]/100)</f>
        <v>0.63700000000000001</v>
      </c>
      <c r="F154">
        <v>73</v>
      </c>
      <c r="G154">
        <v>29.2</v>
      </c>
      <c r="H154">
        <f>ROUND(Table1[[#This Row],[exam_score]]/Table1[[#This Row],[hours_studied]], 2)</f>
        <v>5.62</v>
      </c>
      <c r="I154" s="8">
        <f>ROUND(Table1[[#This Row],[sleep_hours]]/Table1[[#This Row],[hours_studied]], 2)</f>
        <v>1.67</v>
      </c>
      <c r="J154" s="8">
        <f>Table1[[#This Row],[previous_scores]]+Table1[[#This Row],[exam_score]]</f>
        <v>102.2</v>
      </c>
      <c r="K154" s="7">
        <f t="shared" si="4"/>
        <v>-0.6</v>
      </c>
      <c r="L154" s="9">
        <f>Table1[[#This Row],[previous_scores]]/Table1[[#This Row],[Total Scores]]</f>
        <v>0.7142857142857143</v>
      </c>
      <c r="M154" s="9">
        <f>Table1[[#This Row],[exam_score]]/Table1[[#This Row],[Total Scores]]</f>
        <v>0.2857142857142857</v>
      </c>
      <c r="N154" s="9">
        <f>Table1[[#This Row],[exam_score]]/Table1[[#This Row],[hours_studied]]</f>
        <v>5.615384615384615</v>
      </c>
      <c r="O154" s="9">
        <f>(Table1[[#This Row],[previous_scores]]*Table1[[#This Row],[Weight of Previous Scores]])+(Table1[[#This Row],[exam_score]]*Table1[[#This Row],[Weight of Exam Score]])</f>
        <v>60.485714285714288</v>
      </c>
      <c r="P154" s="9" t="str">
        <f>IF(Table1[[#This Row],[Weighted Average]]&gt;=63, "High", IF(Table1[[#This Row],[Weighted Average]]&gt;=48, "Average", "Low"))</f>
        <v>Average</v>
      </c>
    </row>
    <row r="155" spans="1:16" x14ac:dyDescent="0.3">
      <c r="A155" t="s">
        <v>99</v>
      </c>
      <c r="B155">
        <v>5.6</v>
      </c>
      <c r="C155">
        <v>5.3</v>
      </c>
      <c r="D155" s="8">
        <v>51.5</v>
      </c>
      <c r="E155" s="14">
        <f>(Table1[[#This Row],[attendance_percent]]/100)</f>
        <v>0.51500000000000001</v>
      </c>
      <c r="F155">
        <v>61</v>
      </c>
      <c r="G155">
        <v>29.1</v>
      </c>
      <c r="H155">
        <f>ROUND(Table1[[#This Row],[exam_score]]/Table1[[#This Row],[hours_studied]], 2)</f>
        <v>5.2</v>
      </c>
      <c r="I155" s="8">
        <f>ROUND(Table1[[#This Row],[sleep_hours]]/Table1[[#This Row],[hours_studied]], 2)</f>
        <v>0.95</v>
      </c>
      <c r="J155" s="8">
        <f>Table1[[#This Row],[previous_scores]]+Table1[[#This Row],[exam_score]]</f>
        <v>90.1</v>
      </c>
      <c r="K155" s="7">
        <f t="shared" si="4"/>
        <v>-0.52295081967213108</v>
      </c>
      <c r="L155" s="9">
        <f>Table1[[#This Row],[previous_scores]]/Table1[[#This Row],[Total Scores]]</f>
        <v>0.67702552719200892</v>
      </c>
      <c r="M155" s="9">
        <f>Table1[[#This Row],[exam_score]]/Table1[[#This Row],[Total Scores]]</f>
        <v>0.32297447280799113</v>
      </c>
      <c r="N155" s="9">
        <f>Table1[[#This Row],[exam_score]]/Table1[[#This Row],[hours_studied]]</f>
        <v>5.1964285714285721</v>
      </c>
      <c r="O155" s="9">
        <f>(Table1[[#This Row],[previous_scores]]*Table1[[#This Row],[Weight of Previous Scores]])+(Table1[[#This Row],[exam_score]]*Table1[[#This Row],[Weight of Exam Score]])</f>
        <v>50.69711431742509</v>
      </c>
      <c r="P155" s="9" t="str">
        <f>IF(Table1[[#This Row],[Weighted Average]]&gt;=63, "High", IF(Table1[[#This Row],[Weighted Average]]&gt;=48, "Average", "Low"))</f>
        <v>Average</v>
      </c>
    </row>
    <row r="156" spans="1:16" x14ac:dyDescent="0.3">
      <c r="A156" t="s">
        <v>32</v>
      </c>
      <c r="B156">
        <v>2</v>
      </c>
      <c r="C156">
        <v>6.5</v>
      </c>
      <c r="D156" s="8">
        <v>82.8</v>
      </c>
      <c r="E156" s="14">
        <f>(Table1[[#This Row],[attendance_percent]]/100)</f>
        <v>0.82799999999999996</v>
      </c>
      <c r="F156">
        <v>70</v>
      </c>
      <c r="G156">
        <v>29</v>
      </c>
      <c r="H156">
        <f>ROUND(Table1[[#This Row],[exam_score]]/Table1[[#This Row],[hours_studied]], 2)</f>
        <v>14.5</v>
      </c>
      <c r="I156" s="8">
        <f>ROUND(Table1[[#This Row],[sleep_hours]]/Table1[[#This Row],[hours_studied]], 2)</f>
        <v>3.25</v>
      </c>
      <c r="J156" s="8">
        <f>Table1[[#This Row],[previous_scores]]+Table1[[#This Row],[exam_score]]</f>
        <v>99</v>
      </c>
      <c r="K156" s="7">
        <f t="shared" si="4"/>
        <v>-0.58571428571428574</v>
      </c>
      <c r="L156" s="9">
        <f>Table1[[#This Row],[previous_scores]]/Table1[[#This Row],[Total Scores]]</f>
        <v>0.70707070707070707</v>
      </c>
      <c r="M156" s="9">
        <f>Table1[[#This Row],[exam_score]]/Table1[[#This Row],[Total Scores]]</f>
        <v>0.29292929292929293</v>
      </c>
      <c r="N156" s="9">
        <f>Table1[[#This Row],[exam_score]]/Table1[[#This Row],[hours_studied]]</f>
        <v>14.5</v>
      </c>
      <c r="O156" s="9">
        <f>(Table1[[#This Row],[previous_scores]]*Table1[[#This Row],[Weight of Previous Scores]])+(Table1[[#This Row],[exam_score]]*Table1[[#This Row],[Weight of Exam Score]])</f>
        <v>57.98989898989899</v>
      </c>
      <c r="P156" s="9" t="str">
        <f>IF(Table1[[#This Row],[Weighted Average]]&gt;=63, "High", IF(Table1[[#This Row],[Weighted Average]]&gt;=48, "Average", "Low"))</f>
        <v>Average</v>
      </c>
    </row>
    <row r="157" spans="1:16" x14ac:dyDescent="0.3">
      <c r="A157" t="s">
        <v>142</v>
      </c>
      <c r="B157">
        <v>1.8</v>
      </c>
      <c r="C157">
        <v>5.0999999999999996</v>
      </c>
      <c r="D157" s="8">
        <v>58.4</v>
      </c>
      <c r="E157" s="14">
        <f>(Table1[[#This Row],[attendance_percent]]/100)</f>
        <v>0.58399999999999996</v>
      </c>
      <c r="F157">
        <v>79</v>
      </c>
      <c r="G157">
        <v>29</v>
      </c>
      <c r="H157">
        <f>ROUND(Table1[[#This Row],[exam_score]]/Table1[[#This Row],[hours_studied]], 2)</f>
        <v>16.11</v>
      </c>
      <c r="I157" s="8">
        <f>ROUND(Table1[[#This Row],[sleep_hours]]/Table1[[#This Row],[hours_studied]], 2)</f>
        <v>2.83</v>
      </c>
      <c r="J157" s="8">
        <f>Table1[[#This Row],[previous_scores]]+Table1[[#This Row],[exam_score]]</f>
        <v>108</v>
      </c>
      <c r="K157" s="7">
        <f t="shared" si="4"/>
        <v>-0.63291139240506333</v>
      </c>
      <c r="L157" s="9">
        <f>Table1[[#This Row],[previous_scores]]/Table1[[#This Row],[Total Scores]]</f>
        <v>0.73148148148148151</v>
      </c>
      <c r="M157" s="9">
        <f>Table1[[#This Row],[exam_score]]/Table1[[#This Row],[Total Scores]]</f>
        <v>0.26851851851851855</v>
      </c>
      <c r="N157" s="9">
        <f>Table1[[#This Row],[exam_score]]/Table1[[#This Row],[hours_studied]]</f>
        <v>16.111111111111111</v>
      </c>
      <c r="O157" s="9">
        <f>(Table1[[#This Row],[previous_scores]]*Table1[[#This Row],[Weight of Previous Scores]])+(Table1[[#This Row],[exam_score]]*Table1[[#This Row],[Weight of Exam Score]])</f>
        <v>65.574074074074076</v>
      </c>
      <c r="P157" s="9" t="str">
        <f>IF(Table1[[#This Row],[Weighted Average]]&gt;=63, "High", IF(Table1[[#This Row],[Weighted Average]]&gt;=48, "Average", "Low"))</f>
        <v>High</v>
      </c>
    </row>
    <row r="158" spans="1:16" x14ac:dyDescent="0.3">
      <c r="A158" t="s">
        <v>22</v>
      </c>
      <c r="B158">
        <v>3.4</v>
      </c>
      <c r="C158">
        <v>6.8</v>
      </c>
      <c r="D158" s="8">
        <v>62.2</v>
      </c>
      <c r="E158" s="14">
        <f>(Table1[[#This Row],[attendance_percent]]/100)</f>
        <v>0.622</v>
      </c>
      <c r="F158">
        <v>45</v>
      </c>
      <c r="G158">
        <v>28.9</v>
      </c>
      <c r="H158">
        <f>ROUND(Table1[[#This Row],[exam_score]]/Table1[[#This Row],[hours_studied]], 2)</f>
        <v>8.5</v>
      </c>
      <c r="I158" s="8">
        <f>ROUND(Table1[[#This Row],[sleep_hours]]/Table1[[#This Row],[hours_studied]], 2)</f>
        <v>2</v>
      </c>
      <c r="J158" s="8">
        <f>Table1[[#This Row],[previous_scores]]+Table1[[#This Row],[exam_score]]</f>
        <v>73.900000000000006</v>
      </c>
      <c r="K158" s="7">
        <f t="shared" si="4"/>
        <v>-0.35777777777777781</v>
      </c>
      <c r="L158" s="9">
        <f>Table1[[#This Row],[previous_scores]]/Table1[[#This Row],[Total Scores]]</f>
        <v>0.60893098782138022</v>
      </c>
      <c r="M158" s="9">
        <f>Table1[[#This Row],[exam_score]]/Table1[[#This Row],[Total Scores]]</f>
        <v>0.39106901217861972</v>
      </c>
      <c r="N158" s="9">
        <f>Table1[[#This Row],[exam_score]]/Table1[[#This Row],[hours_studied]]</f>
        <v>8.5</v>
      </c>
      <c r="O158" s="9">
        <f>(Table1[[#This Row],[previous_scores]]*Table1[[#This Row],[Weight of Previous Scores]])+(Table1[[#This Row],[exam_score]]*Table1[[#This Row],[Weight of Exam Score]])</f>
        <v>38.70378890392422</v>
      </c>
      <c r="P158" s="9" t="str">
        <f>IF(Table1[[#This Row],[Weighted Average]]&gt;=63, "High", IF(Table1[[#This Row],[Weighted Average]]&gt;=48, "Average", "Low"))</f>
        <v>Low</v>
      </c>
    </row>
    <row r="159" spans="1:16" x14ac:dyDescent="0.3">
      <c r="A159" t="s">
        <v>56</v>
      </c>
      <c r="B159">
        <v>5.0999999999999996</v>
      </c>
      <c r="C159">
        <v>5.6</v>
      </c>
      <c r="D159" s="8">
        <v>94.9</v>
      </c>
      <c r="E159" s="14">
        <f>(Table1[[#This Row],[attendance_percent]]/100)</f>
        <v>0.94900000000000007</v>
      </c>
      <c r="F159">
        <v>51</v>
      </c>
      <c r="G159">
        <v>28.8</v>
      </c>
      <c r="H159">
        <f>ROUND(Table1[[#This Row],[exam_score]]/Table1[[#This Row],[hours_studied]], 2)</f>
        <v>5.65</v>
      </c>
      <c r="I159" s="8">
        <f>ROUND(Table1[[#This Row],[sleep_hours]]/Table1[[#This Row],[hours_studied]], 2)</f>
        <v>1.1000000000000001</v>
      </c>
      <c r="J159" s="8">
        <f>Table1[[#This Row],[previous_scores]]+Table1[[#This Row],[exam_score]]</f>
        <v>79.8</v>
      </c>
      <c r="K159" s="7">
        <f t="shared" si="4"/>
        <v>-0.43529411764705883</v>
      </c>
      <c r="L159" s="9">
        <f>Table1[[#This Row],[previous_scores]]/Table1[[#This Row],[Total Scores]]</f>
        <v>0.63909774436090228</v>
      </c>
      <c r="M159" s="9">
        <f>Table1[[#This Row],[exam_score]]/Table1[[#This Row],[Total Scores]]</f>
        <v>0.36090225563909778</v>
      </c>
      <c r="N159" s="9">
        <f>Table1[[#This Row],[exam_score]]/Table1[[#This Row],[hours_studied]]</f>
        <v>5.6470588235294121</v>
      </c>
      <c r="O159" s="9">
        <f>(Table1[[#This Row],[previous_scores]]*Table1[[#This Row],[Weight of Previous Scores]])+(Table1[[#This Row],[exam_score]]*Table1[[#This Row],[Weight of Exam Score]])</f>
        <v>42.987969924812035</v>
      </c>
      <c r="P159" s="9" t="str">
        <f>IF(Table1[[#This Row],[Weighted Average]]&gt;=63, "High", IF(Table1[[#This Row],[Weighted Average]]&gt;=48, "Average", "Low"))</f>
        <v>Low</v>
      </c>
    </row>
    <row r="160" spans="1:16" x14ac:dyDescent="0.3">
      <c r="A160" t="s">
        <v>137</v>
      </c>
      <c r="B160">
        <v>1.6</v>
      </c>
      <c r="C160">
        <v>5.3</v>
      </c>
      <c r="D160" s="8">
        <v>83.5</v>
      </c>
      <c r="E160" s="14">
        <f>(Table1[[#This Row],[attendance_percent]]/100)</f>
        <v>0.83499999999999996</v>
      </c>
      <c r="F160">
        <v>95</v>
      </c>
      <c r="G160">
        <v>28.8</v>
      </c>
      <c r="H160">
        <f>ROUND(Table1[[#This Row],[exam_score]]/Table1[[#This Row],[hours_studied]], 2)</f>
        <v>18</v>
      </c>
      <c r="I160" s="8">
        <f>ROUND(Table1[[#This Row],[sleep_hours]]/Table1[[#This Row],[hours_studied]], 2)</f>
        <v>3.31</v>
      </c>
      <c r="J160" s="8">
        <f>Table1[[#This Row],[previous_scores]]+Table1[[#This Row],[exam_score]]</f>
        <v>123.8</v>
      </c>
      <c r="K160" s="7">
        <f t="shared" si="4"/>
        <v>-0.69684210526315793</v>
      </c>
      <c r="L160" s="9">
        <f>Table1[[#This Row],[previous_scores]]/Table1[[#This Row],[Total Scores]]</f>
        <v>0.76736672051696286</v>
      </c>
      <c r="M160" s="9">
        <f>Table1[[#This Row],[exam_score]]/Table1[[#This Row],[Total Scores]]</f>
        <v>0.23263327948303716</v>
      </c>
      <c r="N160" s="9">
        <f>Table1[[#This Row],[exam_score]]/Table1[[#This Row],[hours_studied]]</f>
        <v>18</v>
      </c>
      <c r="O160" s="9">
        <f>(Table1[[#This Row],[previous_scores]]*Table1[[#This Row],[Weight of Previous Scores]])+(Table1[[#This Row],[exam_score]]*Table1[[#This Row],[Weight of Exam Score]])</f>
        <v>79.599676898222938</v>
      </c>
      <c r="P160" s="9" t="str">
        <f>IF(Table1[[#This Row],[Weighted Average]]&gt;=63, "High", IF(Table1[[#This Row],[Weighted Average]]&gt;=48, "Average", "Low"))</f>
        <v>High</v>
      </c>
    </row>
    <row r="161" spans="1:16" x14ac:dyDescent="0.3">
      <c r="A161" t="s">
        <v>198</v>
      </c>
      <c r="B161">
        <v>3.7</v>
      </c>
      <c r="C161">
        <v>5.5</v>
      </c>
      <c r="D161" s="8">
        <v>60.6</v>
      </c>
      <c r="E161" s="14">
        <f>(Table1[[#This Row],[attendance_percent]]/100)</f>
        <v>0.60599999999999998</v>
      </c>
      <c r="F161">
        <v>90</v>
      </c>
      <c r="G161">
        <v>28.8</v>
      </c>
      <c r="H161">
        <f>ROUND(Table1[[#This Row],[exam_score]]/Table1[[#This Row],[hours_studied]], 2)</f>
        <v>7.78</v>
      </c>
      <c r="I161" s="8">
        <f>ROUND(Table1[[#This Row],[sleep_hours]]/Table1[[#This Row],[hours_studied]], 2)</f>
        <v>1.49</v>
      </c>
      <c r="J161" s="8">
        <f>Table1[[#This Row],[previous_scores]]+Table1[[#This Row],[exam_score]]</f>
        <v>118.8</v>
      </c>
      <c r="K161" s="7">
        <f t="shared" si="4"/>
        <v>-0.68</v>
      </c>
      <c r="L161" s="9">
        <f>Table1[[#This Row],[previous_scores]]/Table1[[#This Row],[Total Scores]]</f>
        <v>0.75757575757575757</v>
      </c>
      <c r="M161" s="9">
        <f>Table1[[#This Row],[exam_score]]/Table1[[#This Row],[Total Scores]]</f>
        <v>0.24242424242424243</v>
      </c>
      <c r="N161" s="9">
        <f>Table1[[#This Row],[exam_score]]/Table1[[#This Row],[hours_studied]]</f>
        <v>7.7837837837837833</v>
      </c>
      <c r="O161" s="9">
        <f>(Table1[[#This Row],[previous_scores]]*Table1[[#This Row],[Weight of Previous Scores]])+(Table1[[#This Row],[exam_score]]*Table1[[#This Row],[Weight of Exam Score]])</f>
        <v>75.163636363636371</v>
      </c>
      <c r="P161" s="9" t="str">
        <f>IF(Table1[[#This Row],[Weighted Average]]&gt;=63, "High", IF(Table1[[#This Row],[Weighted Average]]&gt;=48, "Average", "Low"))</f>
        <v>High</v>
      </c>
    </row>
    <row r="162" spans="1:16" x14ac:dyDescent="0.3">
      <c r="A162" t="s">
        <v>101</v>
      </c>
      <c r="B162">
        <v>5.2</v>
      </c>
      <c r="C162">
        <v>6.8</v>
      </c>
      <c r="D162" s="8">
        <v>84</v>
      </c>
      <c r="E162" s="14">
        <f>(Table1[[#This Row],[attendance_percent]]/100)</f>
        <v>0.84</v>
      </c>
      <c r="F162">
        <v>43</v>
      </c>
      <c r="G162">
        <v>28.7</v>
      </c>
      <c r="H162">
        <f>ROUND(Table1[[#This Row],[exam_score]]/Table1[[#This Row],[hours_studied]], 2)</f>
        <v>5.52</v>
      </c>
      <c r="I162" s="8">
        <f>ROUND(Table1[[#This Row],[sleep_hours]]/Table1[[#This Row],[hours_studied]], 2)</f>
        <v>1.31</v>
      </c>
      <c r="J162" s="8">
        <f>Table1[[#This Row],[previous_scores]]+Table1[[#This Row],[exam_score]]</f>
        <v>71.7</v>
      </c>
      <c r="K162" s="7">
        <f t="shared" ref="K162:K193" si="5">(G162-F162)/F162</f>
        <v>-0.33255813953488372</v>
      </c>
      <c r="L162" s="9">
        <f>Table1[[#This Row],[previous_scores]]/Table1[[#This Row],[Total Scores]]</f>
        <v>0.59972105997210601</v>
      </c>
      <c r="M162" s="9">
        <f>Table1[[#This Row],[exam_score]]/Table1[[#This Row],[Total Scores]]</f>
        <v>0.40027894002789399</v>
      </c>
      <c r="N162" s="9">
        <f>Table1[[#This Row],[exam_score]]/Table1[[#This Row],[hours_studied]]</f>
        <v>5.5192307692307692</v>
      </c>
      <c r="O162" s="9">
        <f>(Table1[[#This Row],[previous_scores]]*Table1[[#This Row],[Weight of Previous Scores]])+(Table1[[#This Row],[exam_score]]*Table1[[#This Row],[Weight of Exam Score]])</f>
        <v>37.276011157601118</v>
      </c>
      <c r="P162" s="9" t="str">
        <f>IF(Table1[[#This Row],[Weighted Average]]&gt;=63, "High", IF(Table1[[#This Row],[Weighted Average]]&gt;=48, "Average", "Low"))</f>
        <v>Low</v>
      </c>
    </row>
    <row r="163" spans="1:16" x14ac:dyDescent="0.3">
      <c r="A163" t="s">
        <v>93</v>
      </c>
      <c r="B163">
        <v>6.6</v>
      </c>
      <c r="C163">
        <v>4.5</v>
      </c>
      <c r="D163" s="8">
        <v>87.4</v>
      </c>
      <c r="E163" s="14">
        <f>(Table1[[#This Row],[attendance_percent]]/100)</f>
        <v>0.87400000000000011</v>
      </c>
      <c r="F163">
        <v>40</v>
      </c>
      <c r="G163">
        <v>28.6</v>
      </c>
      <c r="H163">
        <f>ROUND(Table1[[#This Row],[exam_score]]/Table1[[#This Row],[hours_studied]], 2)</f>
        <v>4.33</v>
      </c>
      <c r="I163" s="8">
        <f>ROUND(Table1[[#This Row],[sleep_hours]]/Table1[[#This Row],[hours_studied]], 2)</f>
        <v>0.68</v>
      </c>
      <c r="J163" s="8">
        <f>Table1[[#This Row],[previous_scores]]+Table1[[#This Row],[exam_score]]</f>
        <v>68.599999999999994</v>
      </c>
      <c r="K163" s="7">
        <f t="shared" si="5"/>
        <v>-0.28499999999999998</v>
      </c>
      <c r="L163" s="9">
        <f>Table1[[#This Row],[previous_scores]]/Table1[[#This Row],[Total Scores]]</f>
        <v>0.58309037900874638</v>
      </c>
      <c r="M163" s="9">
        <f>Table1[[#This Row],[exam_score]]/Table1[[#This Row],[Total Scores]]</f>
        <v>0.41690962099125373</v>
      </c>
      <c r="N163" s="9">
        <f>Table1[[#This Row],[exam_score]]/Table1[[#This Row],[hours_studied]]</f>
        <v>4.3333333333333339</v>
      </c>
      <c r="O163" s="9">
        <f>(Table1[[#This Row],[previous_scores]]*Table1[[#This Row],[Weight of Previous Scores]])+(Table1[[#This Row],[exam_score]]*Table1[[#This Row],[Weight of Exam Score]])</f>
        <v>35.247230320699714</v>
      </c>
      <c r="P163" s="9" t="str">
        <f>IF(Table1[[#This Row],[Weighted Average]]&gt;=63, "High", IF(Table1[[#This Row],[Weighted Average]]&gt;=48, "Average", "Low"))</f>
        <v>Low</v>
      </c>
    </row>
    <row r="164" spans="1:16" x14ac:dyDescent="0.3">
      <c r="A164" t="s">
        <v>203</v>
      </c>
      <c r="B164">
        <v>1.6</v>
      </c>
      <c r="C164">
        <v>6.9</v>
      </c>
      <c r="D164" s="8">
        <v>63.8</v>
      </c>
      <c r="E164" s="14">
        <f>(Table1[[#This Row],[attendance_percent]]/100)</f>
        <v>0.63800000000000001</v>
      </c>
      <c r="F164">
        <v>76</v>
      </c>
      <c r="G164">
        <v>28.2</v>
      </c>
      <c r="H164">
        <f>ROUND(Table1[[#This Row],[exam_score]]/Table1[[#This Row],[hours_studied]], 2)</f>
        <v>17.63</v>
      </c>
      <c r="I164" s="8">
        <f>ROUND(Table1[[#This Row],[sleep_hours]]/Table1[[#This Row],[hours_studied]], 2)</f>
        <v>4.3099999999999996</v>
      </c>
      <c r="J164" s="8">
        <f>Table1[[#This Row],[previous_scores]]+Table1[[#This Row],[exam_score]]</f>
        <v>104.2</v>
      </c>
      <c r="K164" s="7">
        <f t="shared" si="5"/>
        <v>-0.62894736842105259</v>
      </c>
      <c r="L164" s="9">
        <f>Table1[[#This Row],[previous_scores]]/Table1[[#This Row],[Total Scores]]</f>
        <v>0.72936660268714004</v>
      </c>
      <c r="M164" s="9">
        <f>Table1[[#This Row],[exam_score]]/Table1[[#This Row],[Total Scores]]</f>
        <v>0.27063339731285985</v>
      </c>
      <c r="N164" s="9">
        <f>Table1[[#This Row],[exam_score]]/Table1[[#This Row],[hours_studied]]</f>
        <v>17.625</v>
      </c>
      <c r="O164" s="9">
        <f>(Table1[[#This Row],[previous_scores]]*Table1[[#This Row],[Weight of Previous Scores]])+(Table1[[#This Row],[exam_score]]*Table1[[#This Row],[Weight of Exam Score]])</f>
        <v>63.063723608445287</v>
      </c>
      <c r="P164" s="9" t="str">
        <f>IF(Table1[[#This Row],[Weighted Average]]&gt;=63, "High", IF(Table1[[#This Row],[Weighted Average]]&gt;=48, "Average", "Low"))</f>
        <v>High</v>
      </c>
    </row>
    <row r="165" spans="1:16" x14ac:dyDescent="0.3">
      <c r="A165" t="s">
        <v>100</v>
      </c>
      <c r="B165">
        <v>1.7</v>
      </c>
      <c r="C165">
        <v>7.7</v>
      </c>
      <c r="D165" s="8">
        <v>66.8</v>
      </c>
      <c r="E165" s="14">
        <f>(Table1[[#This Row],[attendance_percent]]/100)</f>
        <v>0.66799999999999993</v>
      </c>
      <c r="F165">
        <v>51</v>
      </c>
      <c r="G165">
        <v>28.1</v>
      </c>
      <c r="H165">
        <f>ROUND(Table1[[#This Row],[exam_score]]/Table1[[#This Row],[hours_studied]], 2)</f>
        <v>16.53</v>
      </c>
      <c r="I165" s="8">
        <f>ROUND(Table1[[#This Row],[sleep_hours]]/Table1[[#This Row],[hours_studied]], 2)</f>
        <v>4.53</v>
      </c>
      <c r="J165" s="8">
        <f>Table1[[#This Row],[previous_scores]]+Table1[[#This Row],[exam_score]]</f>
        <v>79.099999999999994</v>
      </c>
      <c r="K165" s="7">
        <f t="shared" si="5"/>
        <v>-0.44901960784313721</v>
      </c>
      <c r="L165" s="9">
        <f>Table1[[#This Row],[previous_scores]]/Table1[[#This Row],[Total Scores]]</f>
        <v>0.64475347661188376</v>
      </c>
      <c r="M165" s="9">
        <f>Table1[[#This Row],[exam_score]]/Table1[[#This Row],[Total Scores]]</f>
        <v>0.35524652338811635</v>
      </c>
      <c r="N165" s="9">
        <f>Table1[[#This Row],[exam_score]]/Table1[[#This Row],[hours_studied]]</f>
        <v>16.529411764705884</v>
      </c>
      <c r="O165" s="9">
        <f>(Table1[[#This Row],[previous_scores]]*Table1[[#This Row],[Weight of Previous Scores]])+(Table1[[#This Row],[exam_score]]*Table1[[#This Row],[Weight of Exam Score]])</f>
        <v>42.864854614412138</v>
      </c>
      <c r="P165" s="9" t="str">
        <f>IF(Table1[[#This Row],[Weighted Average]]&gt;=63, "High", IF(Table1[[#This Row],[Weighted Average]]&gt;=48, "Average", "Low"))</f>
        <v>Low</v>
      </c>
    </row>
    <row r="166" spans="1:16" x14ac:dyDescent="0.3">
      <c r="A166" t="s">
        <v>195</v>
      </c>
      <c r="B166">
        <v>5.9</v>
      </c>
      <c r="C166">
        <v>7.4</v>
      </c>
      <c r="D166" s="8">
        <v>51.4</v>
      </c>
      <c r="E166" s="14">
        <f>(Table1[[#This Row],[attendance_percent]]/100)</f>
        <v>0.51400000000000001</v>
      </c>
      <c r="F166">
        <v>44</v>
      </c>
      <c r="G166">
        <v>28</v>
      </c>
      <c r="H166">
        <f>ROUND(Table1[[#This Row],[exam_score]]/Table1[[#This Row],[hours_studied]], 2)</f>
        <v>4.75</v>
      </c>
      <c r="I166" s="8">
        <f>ROUND(Table1[[#This Row],[sleep_hours]]/Table1[[#This Row],[hours_studied]], 2)</f>
        <v>1.25</v>
      </c>
      <c r="J166" s="8">
        <f>Table1[[#This Row],[previous_scores]]+Table1[[#This Row],[exam_score]]</f>
        <v>72</v>
      </c>
      <c r="K166" s="7">
        <f t="shared" si="5"/>
        <v>-0.36363636363636365</v>
      </c>
      <c r="L166" s="9">
        <f>Table1[[#This Row],[previous_scores]]/Table1[[#This Row],[Total Scores]]</f>
        <v>0.61111111111111116</v>
      </c>
      <c r="M166" s="9">
        <f>Table1[[#This Row],[exam_score]]/Table1[[#This Row],[Total Scores]]</f>
        <v>0.3888888888888889</v>
      </c>
      <c r="N166" s="9">
        <f>Table1[[#This Row],[exam_score]]/Table1[[#This Row],[hours_studied]]</f>
        <v>4.7457627118644066</v>
      </c>
      <c r="O166" s="9">
        <f>(Table1[[#This Row],[previous_scores]]*Table1[[#This Row],[Weight of Previous Scores]])+(Table1[[#This Row],[exam_score]]*Table1[[#This Row],[Weight of Exam Score]])</f>
        <v>37.777777777777786</v>
      </c>
      <c r="P166" s="9" t="str">
        <f>IF(Table1[[#This Row],[Weighted Average]]&gt;=63, "High", IF(Table1[[#This Row],[Weighted Average]]&gt;=48, "Average", "Low"))</f>
        <v>Low</v>
      </c>
    </row>
    <row r="167" spans="1:16" x14ac:dyDescent="0.3">
      <c r="A167" t="s">
        <v>158</v>
      </c>
      <c r="B167">
        <v>5.8</v>
      </c>
      <c r="C167">
        <v>8.6999999999999993</v>
      </c>
      <c r="D167" s="8">
        <v>55.1</v>
      </c>
      <c r="E167" s="14">
        <f>(Table1[[#This Row],[attendance_percent]]/100)</f>
        <v>0.55100000000000005</v>
      </c>
      <c r="F167">
        <v>44</v>
      </c>
      <c r="G167">
        <v>27.7</v>
      </c>
      <c r="H167">
        <f>ROUND(Table1[[#This Row],[exam_score]]/Table1[[#This Row],[hours_studied]], 2)</f>
        <v>4.78</v>
      </c>
      <c r="I167" s="8">
        <f>ROUND(Table1[[#This Row],[sleep_hours]]/Table1[[#This Row],[hours_studied]], 2)</f>
        <v>1.5</v>
      </c>
      <c r="J167" s="8">
        <f>Table1[[#This Row],[previous_scores]]+Table1[[#This Row],[exam_score]]</f>
        <v>71.7</v>
      </c>
      <c r="K167" s="7">
        <f t="shared" si="5"/>
        <v>-0.37045454545454548</v>
      </c>
      <c r="L167" s="9">
        <f>Table1[[#This Row],[previous_scores]]/Table1[[#This Row],[Total Scores]]</f>
        <v>0.61366806136680607</v>
      </c>
      <c r="M167" s="9">
        <f>Table1[[#This Row],[exam_score]]/Table1[[#This Row],[Total Scores]]</f>
        <v>0.38633193863319382</v>
      </c>
      <c r="N167" s="9">
        <f>Table1[[#This Row],[exam_score]]/Table1[[#This Row],[hours_studied]]</f>
        <v>4.7758620689655169</v>
      </c>
      <c r="O167" s="9">
        <f>(Table1[[#This Row],[previous_scores]]*Table1[[#This Row],[Weight of Previous Scores]])+(Table1[[#This Row],[exam_score]]*Table1[[#This Row],[Weight of Exam Score]])</f>
        <v>37.702789400278938</v>
      </c>
      <c r="P167" s="9" t="str">
        <f>IF(Table1[[#This Row],[Weighted Average]]&gt;=63, "High", IF(Table1[[#This Row],[Weighted Average]]&gt;=48, "Average", "Low"))</f>
        <v>Low</v>
      </c>
    </row>
    <row r="168" spans="1:16" x14ac:dyDescent="0.3">
      <c r="A168" t="s">
        <v>96</v>
      </c>
      <c r="B168">
        <v>2.2000000000000002</v>
      </c>
      <c r="C168">
        <v>4</v>
      </c>
      <c r="D168" s="8">
        <v>61</v>
      </c>
      <c r="E168" s="14">
        <f>(Table1[[#This Row],[attendance_percent]]/100)</f>
        <v>0.61</v>
      </c>
      <c r="F168">
        <v>70</v>
      </c>
      <c r="G168">
        <v>27.3</v>
      </c>
      <c r="H168">
        <f>ROUND(Table1[[#This Row],[exam_score]]/Table1[[#This Row],[hours_studied]], 2)</f>
        <v>12.41</v>
      </c>
      <c r="I168" s="8">
        <f>ROUND(Table1[[#This Row],[sleep_hours]]/Table1[[#This Row],[hours_studied]], 2)</f>
        <v>1.82</v>
      </c>
      <c r="J168" s="8">
        <f>Table1[[#This Row],[previous_scores]]+Table1[[#This Row],[exam_score]]</f>
        <v>97.3</v>
      </c>
      <c r="K168" s="7">
        <f t="shared" si="5"/>
        <v>-0.61</v>
      </c>
      <c r="L168" s="9">
        <f>Table1[[#This Row],[previous_scores]]/Table1[[#This Row],[Total Scores]]</f>
        <v>0.71942446043165464</v>
      </c>
      <c r="M168" s="9">
        <f>Table1[[#This Row],[exam_score]]/Table1[[#This Row],[Total Scores]]</f>
        <v>0.28057553956834536</v>
      </c>
      <c r="N168" s="9">
        <f>Table1[[#This Row],[exam_score]]/Table1[[#This Row],[hours_studied]]</f>
        <v>12.409090909090908</v>
      </c>
      <c r="O168" s="9">
        <f>(Table1[[#This Row],[previous_scores]]*Table1[[#This Row],[Weight of Previous Scores]])+(Table1[[#This Row],[exam_score]]*Table1[[#This Row],[Weight of Exam Score]])</f>
        <v>58.019424460431658</v>
      </c>
      <c r="P168" s="9" t="str">
        <f>IF(Table1[[#This Row],[Weighted Average]]&gt;=63, "High", IF(Table1[[#This Row],[Weighted Average]]&gt;=48, "Average", "Low"))</f>
        <v>Average</v>
      </c>
    </row>
    <row r="169" spans="1:16" x14ac:dyDescent="0.3">
      <c r="A169" t="s">
        <v>68</v>
      </c>
      <c r="B169">
        <v>7.1</v>
      </c>
      <c r="C169">
        <v>5.8</v>
      </c>
      <c r="D169" s="8">
        <v>63.6</v>
      </c>
      <c r="E169" s="14">
        <f>(Table1[[#This Row],[attendance_percent]]/100)</f>
        <v>0.63600000000000001</v>
      </c>
      <c r="F169">
        <v>46</v>
      </c>
      <c r="G169">
        <v>27.1</v>
      </c>
      <c r="H169">
        <f>ROUND(Table1[[#This Row],[exam_score]]/Table1[[#This Row],[hours_studied]], 2)</f>
        <v>3.82</v>
      </c>
      <c r="I169" s="8">
        <f>ROUND(Table1[[#This Row],[sleep_hours]]/Table1[[#This Row],[hours_studied]], 2)</f>
        <v>0.82</v>
      </c>
      <c r="J169" s="8">
        <f>Table1[[#This Row],[previous_scores]]+Table1[[#This Row],[exam_score]]</f>
        <v>73.099999999999994</v>
      </c>
      <c r="K169" s="7">
        <f t="shared" si="5"/>
        <v>-0.41086956521739126</v>
      </c>
      <c r="L169" s="9">
        <f>Table1[[#This Row],[previous_scores]]/Table1[[#This Row],[Total Scores]]</f>
        <v>0.62927496580027364</v>
      </c>
      <c r="M169" s="9">
        <f>Table1[[#This Row],[exam_score]]/Table1[[#This Row],[Total Scores]]</f>
        <v>0.37072503419972647</v>
      </c>
      <c r="N169" s="9">
        <f>Table1[[#This Row],[exam_score]]/Table1[[#This Row],[hours_studied]]</f>
        <v>3.8169014084507045</v>
      </c>
      <c r="O169" s="9">
        <f>(Table1[[#This Row],[previous_scores]]*Table1[[#This Row],[Weight of Previous Scores]])+(Table1[[#This Row],[exam_score]]*Table1[[#This Row],[Weight of Exam Score]])</f>
        <v>38.993296853625175</v>
      </c>
      <c r="P169" s="9" t="str">
        <f>IF(Table1[[#This Row],[Weighted Average]]&gt;=63, "High", IF(Table1[[#This Row],[Weighted Average]]&gt;=48, "Average", "Low"))</f>
        <v>Low</v>
      </c>
    </row>
    <row r="170" spans="1:16" x14ac:dyDescent="0.3">
      <c r="A170" t="s">
        <v>58</v>
      </c>
      <c r="B170">
        <v>3.9</v>
      </c>
      <c r="C170">
        <v>4.4000000000000004</v>
      </c>
      <c r="D170" s="8">
        <v>73.7</v>
      </c>
      <c r="E170" s="14">
        <f>(Table1[[#This Row],[attendance_percent]]/100)</f>
        <v>0.73699999999999999</v>
      </c>
      <c r="F170">
        <v>53</v>
      </c>
      <c r="G170">
        <v>26.9</v>
      </c>
      <c r="H170">
        <f>ROUND(Table1[[#This Row],[exam_score]]/Table1[[#This Row],[hours_studied]], 2)</f>
        <v>6.9</v>
      </c>
      <c r="I170" s="8">
        <f>ROUND(Table1[[#This Row],[sleep_hours]]/Table1[[#This Row],[hours_studied]], 2)</f>
        <v>1.1299999999999999</v>
      </c>
      <c r="J170" s="8">
        <f>Table1[[#This Row],[previous_scores]]+Table1[[#This Row],[exam_score]]</f>
        <v>79.900000000000006</v>
      </c>
      <c r="K170" s="7">
        <f t="shared" si="5"/>
        <v>-0.49245283018867925</v>
      </c>
      <c r="L170" s="9">
        <f>Table1[[#This Row],[previous_scores]]/Table1[[#This Row],[Total Scores]]</f>
        <v>0.66332916145181475</v>
      </c>
      <c r="M170" s="9">
        <f>Table1[[#This Row],[exam_score]]/Table1[[#This Row],[Total Scores]]</f>
        <v>0.33667083854818519</v>
      </c>
      <c r="N170" s="9">
        <f>Table1[[#This Row],[exam_score]]/Table1[[#This Row],[hours_studied]]</f>
        <v>6.8974358974358969</v>
      </c>
      <c r="O170" s="9">
        <f>(Table1[[#This Row],[previous_scores]]*Table1[[#This Row],[Weight of Previous Scores]])+(Table1[[#This Row],[exam_score]]*Table1[[#This Row],[Weight of Exam Score]])</f>
        <v>44.212891113892361</v>
      </c>
      <c r="P170" s="9" t="str">
        <f>IF(Table1[[#This Row],[Weighted Average]]&gt;=63, "High", IF(Table1[[#This Row],[Weighted Average]]&gt;=48, "Average", "Low"))</f>
        <v>Low</v>
      </c>
    </row>
    <row r="171" spans="1:16" x14ac:dyDescent="0.3">
      <c r="A171" t="s">
        <v>132</v>
      </c>
      <c r="B171">
        <v>1.2</v>
      </c>
      <c r="C171">
        <v>5.7</v>
      </c>
      <c r="D171" s="8">
        <v>97.5</v>
      </c>
      <c r="E171" s="14">
        <f>(Table1[[#This Row],[attendance_percent]]/100)</f>
        <v>0.97499999999999998</v>
      </c>
      <c r="F171">
        <v>73</v>
      </c>
      <c r="G171">
        <v>26.8</v>
      </c>
      <c r="H171">
        <f>ROUND(Table1[[#This Row],[exam_score]]/Table1[[#This Row],[hours_studied]], 2)</f>
        <v>22.33</v>
      </c>
      <c r="I171" s="8">
        <f>ROUND(Table1[[#This Row],[sleep_hours]]/Table1[[#This Row],[hours_studied]], 2)</f>
        <v>4.75</v>
      </c>
      <c r="J171" s="8">
        <f>Table1[[#This Row],[previous_scores]]+Table1[[#This Row],[exam_score]]</f>
        <v>99.8</v>
      </c>
      <c r="K171" s="7">
        <f t="shared" si="5"/>
        <v>-0.63287671232876719</v>
      </c>
      <c r="L171" s="9">
        <f>Table1[[#This Row],[previous_scores]]/Table1[[#This Row],[Total Scores]]</f>
        <v>0.73146292585170347</v>
      </c>
      <c r="M171" s="9">
        <f>Table1[[#This Row],[exam_score]]/Table1[[#This Row],[Total Scores]]</f>
        <v>0.26853707414829658</v>
      </c>
      <c r="N171" s="9">
        <f>Table1[[#This Row],[exam_score]]/Table1[[#This Row],[hours_studied]]</f>
        <v>22.333333333333336</v>
      </c>
      <c r="O171" s="9">
        <f>(Table1[[#This Row],[previous_scores]]*Table1[[#This Row],[Weight of Previous Scores]])+(Table1[[#This Row],[exam_score]]*Table1[[#This Row],[Weight of Exam Score]])</f>
        <v>60.593587174348698</v>
      </c>
      <c r="P171" s="9" t="str">
        <f>IF(Table1[[#This Row],[Weighted Average]]&gt;=63, "High", IF(Table1[[#This Row],[Weighted Average]]&gt;=48, "Average", "Low"))</f>
        <v>Average</v>
      </c>
    </row>
    <row r="172" spans="1:16" x14ac:dyDescent="0.3">
      <c r="A172" t="s">
        <v>33</v>
      </c>
      <c r="B172">
        <v>2.1</v>
      </c>
      <c r="C172">
        <v>8.3000000000000007</v>
      </c>
      <c r="D172" s="8">
        <v>50.3</v>
      </c>
      <c r="E172" s="14">
        <f>(Table1[[#This Row],[attendance_percent]]/100)</f>
        <v>0.503</v>
      </c>
      <c r="F172">
        <v>75</v>
      </c>
      <c r="G172">
        <v>26.5</v>
      </c>
      <c r="H172">
        <f>ROUND(Table1[[#This Row],[exam_score]]/Table1[[#This Row],[hours_studied]], 2)</f>
        <v>12.62</v>
      </c>
      <c r="I172" s="8">
        <f>ROUND(Table1[[#This Row],[sleep_hours]]/Table1[[#This Row],[hours_studied]], 2)</f>
        <v>3.95</v>
      </c>
      <c r="J172" s="8">
        <f>Table1[[#This Row],[previous_scores]]+Table1[[#This Row],[exam_score]]</f>
        <v>101.5</v>
      </c>
      <c r="K172" s="7">
        <f t="shared" si="5"/>
        <v>-0.64666666666666661</v>
      </c>
      <c r="L172" s="9">
        <f>Table1[[#This Row],[previous_scores]]/Table1[[#This Row],[Total Scores]]</f>
        <v>0.73891625615763545</v>
      </c>
      <c r="M172" s="9">
        <f>Table1[[#This Row],[exam_score]]/Table1[[#This Row],[Total Scores]]</f>
        <v>0.26108374384236455</v>
      </c>
      <c r="N172" s="9">
        <f>Table1[[#This Row],[exam_score]]/Table1[[#This Row],[hours_studied]]</f>
        <v>12.619047619047619</v>
      </c>
      <c r="O172" s="9">
        <f>(Table1[[#This Row],[previous_scores]]*Table1[[#This Row],[Weight of Previous Scores]])+(Table1[[#This Row],[exam_score]]*Table1[[#This Row],[Weight of Exam Score]])</f>
        <v>62.337438423645324</v>
      </c>
      <c r="P172" s="9" t="str">
        <f>IF(Table1[[#This Row],[Weighted Average]]&gt;=63, "High", IF(Table1[[#This Row],[Weighted Average]]&gt;=48, "Average", "Low"))</f>
        <v>Average</v>
      </c>
    </row>
    <row r="173" spans="1:16" x14ac:dyDescent="0.3">
      <c r="A173" t="s">
        <v>84</v>
      </c>
      <c r="B173">
        <v>3.9</v>
      </c>
      <c r="C173">
        <v>5.4</v>
      </c>
      <c r="D173" s="8">
        <v>92.8</v>
      </c>
      <c r="E173" s="14">
        <f>(Table1[[#This Row],[attendance_percent]]/100)</f>
        <v>0.92799999999999994</v>
      </c>
      <c r="F173">
        <v>58</v>
      </c>
      <c r="G173">
        <v>26.5</v>
      </c>
      <c r="H173">
        <f>ROUND(Table1[[#This Row],[exam_score]]/Table1[[#This Row],[hours_studied]], 2)</f>
        <v>6.79</v>
      </c>
      <c r="I173" s="8">
        <f>ROUND(Table1[[#This Row],[sleep_hours]]/Table1[[#This Row],[hours_studied]], 2)</f>
        <v>1.38</v>
      </c>
      <c r="J173" s="8">
        <f>Table1[[#This Row],[previous_scores]]+Table1[[#This Row],[exam_score]]</f>
        <v>84.5</v>
      </c>
      <c r="K173" s="7">
        <f t="shared" si="5"/>
        <v>-0.5431034482758621</v>
      </c>
      <c r="L173" s="9">
        <f>Table1[[#This Row],[previous_scores]]/Table1[[#This Row],[Total Scores]]</f>
        <v>0.68639053254437865</v>
      </c>
      <c r="M173" s="9">
        <f>Table1[[#This Row],[exam_score]]/Table1[[#This Row],[Total Scores]]</f>
        <v>0.31360946745562129</v>
      </c>
      <c r="N173" s="9">
        <f>Table1[[#This Row],[exam_score]]/Table1[[#This Row],[hours_studied]]</f>
        <v>6.7948717948717947</v>
      </c>
      <c r="O173" s="9">
        <f>(Table1[[#This Row],[previous_scores]]*Table1[[#This Row],[Weight of Previous Scores]])+(Table1[[#This Row],[exam_score]]*Table1[[#This Row],[Weight of Exam Score]])</f>
        <v>48.121301775147927</v>
      </c>
      <c r="P173" s="9" t="str">
        <f>IF(Table1[[#This Row],[Weighted Average]]&gt;=63, "High", IF(Table1[[#This Row],[Weighted Average]]&gt;=48, "Average", "Low"))</f>
        <v>Average</v>
      </c>
    </row>
    <row r="174" spans="1:16" x14ac:dyDescent="0.3">
      <c r="A174" t="s">
        <v>91</v>
      </c>
      <c r="B174">
        <v>3.4</v>
      </c>
      <c r="C174">
        <v>8.5</v>
      </c>
      <c r="D174" s="8">
        <v>97.7</v>
      </c>
      <c r="E174" s="14">
        <f>(Table1[[#This Row],[attendance_percent]]/100)</f>
        <v>0.97699999999999998</v>
      </c>
      <c r="F174">
        <v>46</v>
      </c>
      <c r="G174">
        <v>26.5</v>
      </c>
      <c r="H174">
        <f>ROUND(Table1[[#This Row],[exam_score]]/Table1[[#This Row],[hours_studied]], 2)</f>
        <v>7.79</v>
      </c>
      <c r="I174" s="8">
        <f>ROUND(Table1[[#This Row],[sleep_hours]]/Table1[[#This Row],[hours_studied]], 2)</f>
        <v>2.5</v>
      </c>
      <c r="J174" s="8">
        <f>Table1[[#This Row],[previous_scores]]+Table1[[#This Row],[exam_score]]</f>
        <v>72.5</v>
      </c>
      <c r="K174" s="7">
        <f t="shared" si="5"/>
        <v>-0.42391304347826086</v>
      </c>
      <c r="L174" s="9">
        <f>Table1[[#This Row],[previous_scores]]/Table1[[#This Row],[Total Scores]]</f>
        <v>0.6344827586206897</v>
      </c>
      <c r="M174" s="9">
        <f>Table1[[#This Row],[exam_score]]/Table1[[#This Row],[Total Scores]]</f>
        <v>0.36551724137931035</v>
      </c>
      <c r="N174" s="9">
        <f>Table1[[#This Row],[exam_score]]/Table1[[#This Row],[hours_studied]]</f>
        <v>7.7941176470588234</v>
      </c>
      <c r="O174" s="9">
        <f>(Table1[[#This Row],[previous_scores]]*Table1[[#This Row],[Weight of Previous Scores]])+(Table1[[#This Row],[exam_score]]*Table1[[#This Row],[Weight of Exam Score]])</f>
        <v>38.872413793103448</v>
      </c>
      <c r="P174" s="9" t="str">
        <f>IF(Table1[[#This Row],[Weighted Average]]&gt;=63, "High", IF(Table1[[#This Row],[Weighted Average]]&gt;=48, "Average", "Low"))</f>
        <v>Low</v>
      </c>
    </row>
    <row r="175" spans="1:16" x14ac:dyDescent="0.3">
      <c r="A175" t="s">
        <v>119</v>
      </c>
      <c r="B175">
        <v>3</v>
      </c>
      <c r="C175">
        <v>4.5</v>
      </c>
      <c r="D175" s="8">
        <v>69</v>
      </c>
      <c r="E175" s="14">
        <f>(Table1[[#This Row],[attendance_percent]]/100)</f>
        <v>0.69</v>
      </c>
      <c r="F175">
        <v>59</v>
      </c>
      <c r="G175">
        <v>26.4</v>
      </c>
      <c r="H175">
        <f>ROUND(Table1[[#This Row],[exam_score]]/Table1[[#This Row],[hours_studied]], 2)</f>
        <v>8.8000000000000007</v>
      </c>
      <c r="I175" s="8">
        <f>ROUND(Table1[[#This Row],[sleep_hours]]/Table1[[#This Row],[hours_studied]], 2)</f>
        <v>1.5</v>
      </c>
      <c r="J175" s="8">
        <f>Table1[[#This Row],[previous_scores]]+Table1[[#This Row],[exam_score]]</f>
        <v>85.4</v>
      </c>
      <c r="K175" s="7">
        <f t="shared" si="5"/>
        <v>-0.55254237288135599</v>
      </c>
      <c r="L175" s="9">
        <f>Table1[[#This Row],[previous_scores]]/Table1[[#This Row],[Total Scores]]</f>
        <v>0.69086651053864168</v>
      </c>
      <c r="M175" s="9">
        <f>Table1[[#This Row],[exam_score]]/Table1[[#This Row],[Total Scores]]</f>
        <v>0.30913348946135827</v>
      </c>
      <c r="N175" s="9">
        <f>Table1[[#This Row],[exam_score]]/Table1[[#This Row],[hours_studied]]</f>
        <v>8.7999999999999989</v>
      </c>
      <c r="O175" s="9">
        <f>(Table1[[#This Row],[previous_scores]]*Table1[[#This Row],[Weight of Previous Scores]])+(Table1[[#This Row],[exam_score]]*Table1[[#This Row],[Weight of Exam Score]])</f>
        <v>48.922248243559714</v>
      </c>
      <c r="P175" s="9" t="str">
        <f>IF(Table1[[#This Row],[Weighted Average]]&gt;=63, "High", IF(Table1[[#This Row],[Weighted Average]]&gt;=48, "Average", "Low"))</f>
        <v>Average</v>
      </c>
    </row>
    <row r="176" spans="1:16" x14ac:dyDescent="0.3">
      <c r="A176" t="s">
        <v>154</v>
      </c>
      <c r="B176">
        <v>3.2</v>
      </c>
      <c r="C176">
        <v>7.2</v>
      </c>
      <c r="D176" s="8">
        <v>85.8</v>
      </c>
      <c r="E176" s="14">
        <f>(Table1[[#This Row],[attendance_percent]]/100)</f>
        <v>0.85799999999999998</v>
      </c>
      <c r="F176">
        <v>50</v>
      </c>
      <c r="G176">
        <v>26.4</v>
      </c>
      <c r="H176">
        <f>ROUND(Table1[[#This Row],[exam_score]]/Table1[[#This Row],[hours_studied]], 2)</f>
        <v>8.25</v>
      </c>
      <c r="I176" s="8">
        <f>ROUND(Table1[[#This Row],[sleep_hours]]/Table1[[#This Row],[hours_studied]], 2)</f>
        <v>2.25</v>
      </c>
      <c r="J176" s="8">
        <f>Table1[[#This Row],[previous_scores]]+Table1[[#This Row],[exam_score]]</f>
        <v>76.400000000000006</v>
      </c>
      <c r="K176" s="7">
        <f t="shared" si="5"/>
        <v>-0.47200000000000003</v>
      </c>
      <c r="L176" s="9">
        <f>Table1[[#This Row],[previous_scores]]/Table1[[#This Row],[Total Scores]]</f>
        <v>0.65445026178010468</v>
      </c>
      <c r="M176" s="9">
        <f>Table1[[#This Row],[exam_score]]/Table1[[#This Row],[Total Scores]]</f>
        <v>0.34554973821989526</v>
      </c>
      <c r="N176" s="9">
        <f>Table1[[#This Row],[exam_score]]/Table1[[#This Row],[hours_studied]]</f>
        <v>8.2499999999999982</v>
      </c>
      <c r="O176" s="9">
        <f>(Table1[[#This Row],[previous_scores]]*Table1[[#This Row],[Weight of Previous Scores]])+(Table1[[#This Row],[exam_score]]*Table1[[#This Row],[Weight of Exam Score]])</f>
        <v>41.845026178010471</v>
      </c>
      <c r="P176" s="9" t="str">
        <f>IF(Table1[[#This Row],[Weighted Average]]&gt;=63, "High", IF(Table1[[#This Row],[Weighted Average]]&gt;=48, "Average", "Low"))</f>
        <v>Low</v>
      </c>
    </row>
    <row r="177" spans="1:16" x14ac:dyDescent="0.3">
      <c r="A177" t="s">
        <v>81</v>
      </c>
      <c r="B177">
        <v>5.4</v>
      </c>
      <c r="C177">
        <v>4.5999999999999996</v>
      </c>
      <c r="D177" s="8">
        <v>95.2</v>
      </c>
      <c r="E177" s="14">
        <f>(Table1[[#This Row],[attendance_percent]]/100)</f>
        <v>0.95200000000000007</v>
      </c>
      <c r="F177">
        <v>42</v>
      </c>
      <c r="G177">
        <v>26.3</v>
      </c>
      <c r="H177">
        <f>ROUND(Table1[[#This Row],[exam_score]]/Table1[[#This Row],[hours_studied]], 2)</f>
        <v>4.87</v>
      </c>
      <c r="I177" s="8">
        <f>ROUND(Table1[[#This Row],[sleep_hours]]/Table1[[#This Row],[hours_studied]], 2)</f>
        <v>0.85</v>
      </c>
      <c r="J177" s="8">
        <f>Table1[[#This Row],[previous_scores]]+Table1[[#This Row],[exam_score]]</f>
        <v>68.3</v>
      </c>
      <c r="K177" s="7">
        <f t="shared" si="5"/>
        <v>-0.37380952380952381</v>
      </c>
      <c r="L177" s="9">
        <f>Table1[[#This Row],[previous_scores]]/Table1[[#This Row],[Total Scores]]</f>
        <v>0.6149341142020498</v>
      </c>
      <c r="M177" s="9">
        <f>Table1[[#This Row],[exam_score]]/Table1[[#This Row],[Total Scores]]</f>
        <v>0.38506588579795026</v>
      </c>
      <c r="N177" s="9">
        <f>Table1[[#This Row],[exam_score]]/Table1[[#This Row],[hours_studied]]</f>
        <v>4.8703703703703702</v>
      </c>
      <c r="O177" s="9">
        <f>(Table1[[#This Row],[previous_scores]]*Table1[[#This Row],[Weight of Previous Scores]])+(Table1[[#This Row],[exam_score]]*Table1[[#This Row],[Weight of Exam Score]])</f>
        <v>35.954465592972184</v>
      </c>
      <c r="P177" s="9" t="str">
        <f>IF(Table1[[#This Row],[Weighted Average]]&gt;=63, "High", IF(Table1[[#This Row],[Weighted Average]]&gt;=48, "Average", "Low"))</f>
        <v>Low</v>
      </c>
    </row>
    <row r="178" spans="1:16" x14ac:dyDescent="0.3">
      <c r="A178" t="s">
        <v>50</v>
      </c>
      <c r="B178">
        <v>1.9</v>
      </c>
      <c r="C178">
        <v>5</v>
      </c>
      <c r="D178" s="8">
        <v>94.6</v>
      </c>
      <c r="E178" s="14">
        <f>(Table1[[#This Row],[attendance_percent]]/100)</f>
        <v>0.94599999999999995</v>
      </c>
      <c r="F178">
        <v>60</v>
      </c>
      <c r="G178">
        <v>26.1</v>
      </c>
      <c r="H178">
        <f>ROUND(Table1[[#This Row],[exam_score]]/Table1[[#This Row],[hours_studied]], 2)</f>
        <v>13.74</v>
      </c>
      <c r="I178" s="8">
        <f>ROUND(Table1[[#This Row],[sleep_hours]]/Table1[[#This Row],[hours_studied]], 2)</f>
        <v>2.63</v>
      </c>
      <c r="J178" s="8">
        <f>Table1[[#This Row],[previous_scores]]+Table1[[#This Row],[exam_score]]</f>
        <v>86.1</v>
      </c>
      <c r="K178" s="7">
        <f t="shared" si="5"/>
        <v>-0.56499999999999995</v>
      </c>
      <c r="L178" s="9">
        <f>Table1[[#This Row],[previous_scores]]/Table1[[#This Row],[Total Scores]]</f>
        <v>0.69686411149825789</v>
      </c>
      <c r="M178" s="9">
        <f>Table1[[#This Row],[exam_score]]/Table1[[#This Row],[Total Scores]]</f>
        <v>0.30313588850174222</v>
      </c>
      <c r="N178" s="9">
        <f>Table1[[#This Row],[exam_score]]/Table1[[#This Row],[hours_studied]]</f>
        <v>13.736842105263159</v>
      </c>
      <c r="O178" s="9">
        <f>(Table1[[#This Row],[previous_scores]]*Table1[[#This Row],[Weight of Previous Scores]])+(Table1[[#This Row],[exam_score]]*Table1[[#This Row],[Weight of Exam Score]])</f>
        <v>49.723693379790944</v>
      </c>
      <c r="P178" s="9" t="str">
        <f>IF(Table1[[#This Row],[Weighted Average]]&gt;=63, "High", IF(Table1[[#This Row],[Weighted Average]]&gt;=48, "Average", "Low"))</f>
        <v>Average</v>
      </c>
    </row>
    <row r="179" spans="1:16" x14ac:dyDescent="0.3">
      <c r="A179" t="s">
        <v>122</v>
      </c>
      <c r="B179">
        <v>4.3</v>
      </c>
      <c r="C179">
        <v>6</v>
      </c>
      <c r="D179" s="8">
        <v>62.6</v>
      </c>
      <c r="E179" s="14">
        <f>(Table1[[#This Row],[attendance_percent]]/100)</f>
        <v>0.626</v>
      </c>
      <c r="F179">
        <v>47</v>
      </c>
      <c r="G179">
        <v>25.2</v>
      </c>
      <c r="H179">
        <f>ROUND(Table1[[#This Row],[exam_score]]/Table1[[#This Row],[hours_studied]], 2)</f>
        <v>5.86</v>
      </c>
      <c r="I179" s="8">
        <f>ROUND(Table1[[#This Row],[sleep_hours]]/Table1[[#This Row],[hours_studied]], 2)</f>
        <v>1.4</v>
      </c>
      <c r="J179" s="8">
        <f>Table1[[#This Row],[previous_scores]]+Table1[[#This Row],[exam_score]]</f>
        <v>72.2</v>
      </c>
      <c r="K179" s="7">
        <f t="shared" si="5"/>
        <v>-0.46382978723404256</v>
      </c>
      <c r="L179" s="9">
        <f>Table1[[#This Row],[previous_scores]]/Table1[[#This Row],[Total Scores]]</f>
        <v>0.65096952908587258</v>
      </c>
      <c r="M179" s="9">
        <f>Table1[[#This Row],[exam_score]]/Table1[[#This Row],[Total Scores]]</f>
        <v>0.34903047091412742</v>
      </c>
      <c r="N179" s="9">
        <f>Table1[[#This Row],[exam_score]]/Table1[[#This Row],[hours_studied]]</f>
        <v>5.8604651162790695</v>
      </c>
      <c r="O179" s="9">
        <f>(Table1[[#This Row],[previous_scores]]*Table1[[#This Row],[Weight of Previous Scores]])+(Table1[[#This Row],[exam_score]]*Table1[[#This Row],[Weight of Exam Score]])</f>
        <v>39.391135734072023</v>
      </c>
      <c r="P179" s="9" t="str">
        <f>IF(Table1[[#This Row],[Weighted Average]]&gt;=63, "High", IF(Table1[[#This Row],[Weighted Average]]&gt;=48, "Average", "Low"))</f>
        <v>Low</v>
      </c>
    </row>
    <row r="180" spans="1:16" x14ac:dyDescent="0.3">
      <c r="A180" t="s">
        <v>166</v>
      </c>
      <c r="B180">
        <v>1.8</v>
      </c>
      <c r="C180">
        <v>7.6</v>
      </c>
      <c r="D180" s="8">
        <v>71.400000000000006</v>
      </c>
      <c r="E180" s="14">
        <f>(Table1[[#This Row],[attendance_percent]]/100)</f>
        <v>0.71400000000000008</v>
      </c>
      <c r="F180">
        <v>58</v>
      </c>
      <c r="G180">
        <v>25.2</v>
      </c>
      <c r="H180">
        <f>ROUND(Table1[[#This Row],[exam_score]]/Table1[[#This Row],[hours_studied]], 2)</f>
        <v>14</v>
      </c>
      <c r="I180" s="8">
        <f>ROUND(Table1[[#This Row],[sleep_hours]]/Table1[[#This Row],[hours_studied]], 2)</f>
        <v>4.22</v>
      </c>
      <c r="J180" s="8">
        <f>Table1[[#This Row],[previous_scores]]+Table1[[#This Row],[exam_score]]</f>
        <v>83.2</v>
      </c>
      <c r="K180" s="7">
        <f t="shared" si="5"/>
        <v>-0.56551724137931025</v>
      </c>
      <c r="L180" s="9">
        <f>Table1[[#This Row],[previous_scores]]/Table1[[#This Row],[Total Scores]]</f>
        <v>0.69711538461538458</v>
      </c>
      <c r="M180" s="9">
        <f>Table1[[#This Row],[exam_score]]/Table1[[#This Row],[Total Scores]]</f>
        <v>0.30288461538461536</v>
      </c>
      <c r="N180" s="9">
        <f>Table1[[#This Row],[exam_score]]/Table1[[#This Row],[hours_studied]]</f>
        <v>14</v>
      </c>
      <c r="O180" s="9">
        <f>(Table1[[#This Row],[previous_scores]]*Table1[[#This Row],[Weight of Previous Scores]])+(Table1[[#This Row],[exam_score]]*Table1[[#This Row],[Weight of Exam Score]])</f>
        <v>48.065384615384616</v>
      </c>
      <c r="P180" s="9" t="str">
        <f>IF(Table1[[#This Row],[Weighted Average]]&gt;=63, "High", IF(Table1[[#This Row],[Weighted Average]]&gt;=48, "Average", "Low"))</f>
        <v>Average</v>
      </c>
    </row>
    <row r="181" spans="1:16" x14ac:dyDescent="0.3">
      <c r="A181" t="s">
        <v>7</v>
      </c>
      <c r="B181">
        <v>1.3</v>
      </c>
      <c r="C181">
        <v>8.6</v>
      </c>
      <c r="D181" s="8">
        <v>60.7</v>
      </c>
      <c r="E181" s="14">
        <f>(Table1[[#This Row],[attendance_percent]]/100)</f>
        <v>0.60699999999999998</v>
      </c>
      <c r="F181">
        <v>55</v>
      </c>
      <c r="G181">
        <v>25</v>
      </c>
      <c r="H181">
        <f>ROUND(Table1[[#This Row],[exam_score]]/Table1[[#This Row],[hours_studied]], 2)</f>
        <v>19.23</v>
      </c>
      <c r="I181" s="8">
        <f>ROUND(Table1[[#This Row],[sleep_hours]]/Table1[[#This Row],[hours_studied]], 2)</f>
        <v>6.62</v>
      </c>
      <c r="J181" s="8">
        <f>Table1[[#This Row],[previous_scores]]+Table1[[#This Row],[exam_score]]</f>
        <v>80</v>
      </c>
      <c r="K181" s="7">
        <f t="shared" si="5"/>
        <v>-0.54545454545454541</v>
      </c>
      <c r="L181" s="9">
        <f>Table1[[#This Row],[previous_scores]]/Table1[[#This Row],[Total Scores]]</f>
        <v>0.6875</v>
      </c>
      <c r="M181" s="9">
        <f>Table1[[#This Row],[exam_score]]/Table1[[#This Row],[Total Scores]]</f>
        <v>0.3125</v>
      </c>
      <c r="N181" s="9">
        <f>Table1[[#This Row],[exam_score]]/Table1[[#This Row],[hours_studied]]</f>
        <v>19.23076923076923</v>
      </c>
      <c r="O181" s="9">
        <f>(Table1[[#This Row],[previous_scores]]*Table1[[#This Row],[Weight of Previous Scores]])+(Table1[[#This Row],[exam_score]]*Table1[[#This Row],[Weight of Exam Score]])</f>
        <v>45.625</v>
      </c>
      <c r="P181" s="9" t="str">
        <f>IF(Table1[[#This Row],[Weighted Average]]&gt;=63, "High", IF(Table1[[#This Row],[Weighted Average]]&gt;=48, "Average", "Low"))</f>
        <v>Low</v>
      </c>
    </row>
    <row r="182" spans="1:16" x14ac:dyDescent="0.3">
      <c r="A182" t="s">
        <v>15</v>
      </c>
      <c r="B182">
        <v>1.3</v>
      </c>
      <c r="C182">
        <v>8.9</v>
      </c>
      <c r="D182" s="8">
        <v>66.8</v>
      </c>
      <c r="E182" s="14">
        <f>(Table1[[#This Row],[attendance_percent]]/100)</f>
        <v>0.66799999999999993</v>
      </c>
      <c r="F182">
        <v>70</v>
      </c>
      <c r="G182">
        <v>24.7</v>
      </c>
      <c r="H182">
        <f>ROUND(Table1[[#This Row],[exam_score]]/Table1[[#This Row],[hours_studied]], 2)</f>
        <v>19</v>
      </c>
      <c r="I182" s="8">
        <f>ROUND(Table1[[#This Row],[sleep_hours]]/Table1[[#This Row],[hours_studied]], 2)</f>
        <v>6.85</v>
      </c>
      <c r="J182" s="8">
        <f>Table1[[#This Row],[previous_scores]]+Table1[[#This Row],[exam_score]]</f>
        <v>94.7</v>
      </c>
      <c r="K182" s="7">
        <f t="shared" si="5"/>
        <v>-0.64714285714285713</v>
      </c>
      <c r="L182" s="9">
        <f>Table1[[#This Row],[previous_scores]]/Table1[[#This Row],[Total Scores]]</f>
        <v>0.73917634635691654</v>
      </c>
      <c r="M182" s="9">
        <f>Table1[[#This Row],[exam_score]]/Table1[[#This Row],[Total Scores]]</f>
        <v>0.26082365364308341</v>
      </c>
      <c r="N182" s="9">
        <f>Table1[[#This Row],[exam_score]]/Table1[[#This Row],[hours_studied]]</f>
        <v>19</v>
      </c>
      <c r="O182" s="9">
        <f>(Table1[[#This Row],[previous_scores]]*Table1[[#This Row],[Weight of Previous Scores]])+(Table1[[#This Row],[exam_score]]*Table1[[#This Row],[Weight of Exam Score]])</f>
        <v>58.184688489968323</v>
      </c>
      <c r="P182" s="9" t="str">
        <f>IF(Table1[[#This Row],[Weighted Average]]&gt;=63, "High", IF(Table1[[#This Row],[Weighted Average]]&gt;=48, "Average", "Low"))</f>
        <v>Average</v>
      </c>
    </row>
    <row r="183" spans="1:16" x14ac:dyDescent="0.3">
      <c r="A183" t="s">
        <v>165</v>
      </c>
      <c r="B183">
        <v>3.4</v>
      </c>
      <c r="C183">
        <v>6.2</v>
      </c>
      <c r="D183" s="8">
        <v>67.400000000000006</v>
      </c>
      <c r="E183" s="14">
        <f>(Table1[[#This Row],[attendance_percent]]/100)</f>
        <v>0.67400000000000004</v>
      </c>
      <c r="F183">
        <v>70</v>
      </c>
      <c r="G183">
        <v>24.7</v>
      </c>
      <c r="H183">
        <f>ROUND(Table1[[#This Row],[exam_score]]/Table1[[#This Row],[hours_studied]], 2)</f>
        <v>7.26</v>
      </c>
      <c r="I183" s="8">
        <f>ROUND(Table1[[#This Row],[sleep_hours]]/Table1[[#This Row],[hours_studied]], 2)</f>
        <v>1.82</v>
      </c>
      <c r="J183" s="8">
        <f>Table1[[#This Row],[previous_scores]]+Table1[[#This Row],[exam_score]]</f>
        <v>94.7</v>
      </c>
      <c r="K183" s="7">
        <f t="shared" si="5"/>
        <v>-0.64714285714285713</v>
      </c>
      <c r="L183" s="9">
        <f>Table1[[#This Row],[previous_scores]]/Table1[[#This Row],[Total Scores]]</f>
        <v>0.73917634635691654</v>
      </c>
      <c r="M183" s="9">
        <f>Table1[[#This Row],[exam_score]]/Table1[[#This Row],[Total Scores]]</f>
        <v>0.26082365364308341</v>
      </c>
      <c r="N183" s="9">
        <f>Table1[[#This Row],[exam_score]]/Table1[[#This Row],[hours_studied]]</f>
        <v>7.2647058823529411</v>
      </c>
      <c r="O183" s="9">
        <f>(Table1[[#This Row],[previous_scores]]*Table1[[#This Row],[Weight of Previous Scores]])+(Table1[[#This Row],[exam_score]]*Table1[[#This Row],[Weight of Exam Score]])</f>
        <v>58.184688489968323</v>
      </c>
      <c r="P183" s="9" t="str">
        <f>IF(Table1[[#This Row],[Weighted Average]]&gt;=63, "High", IF(Table1[[#This Row],[Weighted Average]]&gt;=48, "Average", "Low"))</f>
        <v>Average</v>
      </c>
    </row>
    <row r="184" spans="1:16" x14ac:dyDescent="0.3">
      <c r="A184" t="s">
        <v>110</v>
      </c>
      <c r="B184">
        <v>3.9</v>
      </c>
      <c r="C184">
        <v>4.7</v>
      </c>
      <c r="D184" s="8">
        <v>51.4</v>
      </c>
      <c r="E184" s="14">
        <f>(Table1[[#This Row],[attendance_percent]]/100)</f>
        <v>0.51400000000000001</v>
      </c>
      <c r="F184">
        <v>44</v>
      </c>
      <c r="G184">
        <v>24.1</v>
      </c>
      <c r="H184">
        <f>ROUND(Table1[[#This Row],[exam_score]]/Table1[[#This Row],[hours_studied]], 2)</f>
        <v>6.18</v>
      </c>
      <c r="I184" s="8">
        <f>ROUND(Table1[[#This Row],[sleep_hours]]/Table1[[#This Row],[hours_studied]], 2)</f>
        <v>1.21</v>
      </c>
      <c r="J184" s="8">
        <f>Table1[[#This Row],[previous_scores]]+Table1[[#This Row],[exam_score]]</f>
        <v>68.099999999999994</v>
      </c>
      <c r="K184" s="7">
        <f t="shared" si="5"/>
        <v>-0.45227272727272722</v>
      </c>
      <c r="L184" s="9">
        <f>Table1[[#This Row],[previous_scores]]/Table1[[#This Row],[Total Scores]]</f>
        <v>0.64610866372980913</v>
      </c>
      <c r="M184" s="9">
        <f>Table1[[#This Row],[exam_score]]/Table1[[#This Row],[Total Scores]]</f>
        <v>0.35389133627019093</v>
      </c>
      <c r="N184" s="9">
        <f>Table1[[#This Row],[exam_score]]/Table1[[#This Row],[hours_studied]]</f>
        <v>6.1794871794871797</v>
      </c>
      <c r="O184" s="9">
        <f>(Table1[[#This Row],[previous_scores]]*Table1[[#This Row],[Weight of Previous Scores]])+(Table1[[#This Row],[exam_score]]*Table1[[#This Row],[Weight of Exam Score]])</f>
        <v>36.957562408223204</v>
      </c>
      <c r="P184" s="9" t="str">
        <f>IF(Table1[[#This Row],[Weighted Average]]&gt;=63, "High", IF(Table1[[#This Row],[Weighted Average]]&gt;=48, "Average", "Low"))</f>
        <v>Low</v>
      </c>
    </row>
    <row r="185" spans="1:16" x14ac:dyDescent="0.3">
      <c r="A185" t="s">
        <v>75</v>
      </c>
      <c r="B185">
        <v>3.9</v>
      </c>
      <c r="C185">
        <v>4</v>
      </c>
      <c r="D185" s="8">
        <v>53.2</v>
      </c>
      <c r="E185" s="14">
        <f>(Table1[[#This Row],[attendance_percent]]/100)</f>
        <v>0.53200000000000003</v>
      </c>
      <c r="F185">
        <v>59</v>
      </c>
      <c r="G185">
        <v>23.9</v>
      </c>
      <c r="H185">
        <f>ROUND(Table1[[#This Row],[exam_score]]/Table1[[#This Row],[hours_studied]], 2)</f>
        <v>6.13</v>
      </c>
      <c r="I185" s="8">
        <f>ROUND(Table1[[#This Row],[sleep_hours]]/Table1[[#This Row],[hours_studied]], 2)</f>
        <v>1.03</v>
      </c>
      <c r="J185" s="8">
        <f>Table1[[#This Row],[previous_scores]]+Table1[[#This Row],[exam_score]]</f>
        <v>82.9</v>
      </c>
      <c r="K185" s="7">
        <f t="shared" si="5"/>
        <v>-0.59491525423728819</v>
      </c>
      <c r="L185" s="9">
        <f>Table1[[#This Row],[previous_scores]]/Table1[[#This Row],[Total Scores]]</f>
        <v>0.71170084439083225</v>
      </c>
      <c r="M185" s="9">
        <f>Table1[[#This Row],[exam_score]]/Table1[[#This Row],[Total Scores]]</f>
        <v>0.28829915560916763</v>
      </c>
      <c r="N185" s="9">
        <f>Table1[[#This Row],[exam_score]]/Table1[[#This Row],[hours_studied]]</f>
        <v>6.1282051282051277</v>
      </c>
      <c r="O185" s="9">
        <f>(Table1[[#This Row],[previous_scores]]*Table1[[#This Row],[Weight of Previous Scores]])+(Table1[[#This Row],[exam_score]]*Table1[[#This Row],[Weight of Exam Score]])</f>
        <v>48.880699638118209</v>
      </c>
      <c r="P185" s="9" t="str">
        <f>IF(Table1[[#This Row],[Weighted Average]]&gt;=63, "High", IF(Table1[[#This Row],[Weighted Average]]&gt;=48, "Average", "Low"))</f>
        <v>Average</v>
      </c>
    </row>
    <row r="186" spans="1:16" x14ac:dyDescent="0.3">
      <c r="A186" t="s">
        <v>95</v>
      </c>
      <c r="B186">
        <v>1.5</v>
      </c>
      <c r="C186">
        <v>5.4</v>
      </c>
      <c r="D186" s="8">
        <v>80.2</v>
      </c>
      <c r="E186" s="14">
        <f>(Table1[[#This Row],[attendance_percent]]/100)</f>
        <v>0.80200000000000005</v>
      </c>
      <c r="F186">
        <v>58</v>
      </c>
      <c r="G186">
        <v>23.9</v>
      </c>
      <c r="H186">
        <f>ROUND(Table1[[#This Row],[exam_score]]/Table1[[#This Row],[hours_studied]], 2)</f>
        <v>15.93</v>
      </c>
      <c r="I186" s="8">
        <f>ROUND(Table1[[#This Row],[sleep_hours]]/Table1[[#This Row],[hours_studied]], 2)</f>
        <v>3.6</v>
      </c>
      <c r="J186" s="8">
        <f>Table1[[#This Row],[previous_scores]]+Table1[[#This Row],[exam_score]]</f>
        <v>81.900000000000006</v>
      </c>
      <c r="K186" s="7">
        <f t="shared" si="5"/>
        <v>-0.58793103448275863</v>
      </c>
      <c r="L186" s="9">
        <f>Table1[[#This Row],[previous_scores]]/Table1[[#This Row],[Total Scores]]</f>
        <v>0.70818070818070811</v>
      </c>
      <c r="M186" s="9">
        <f>Table1[[#This Row],[exam_score]]/Table1[[#This Row],[Total Scores]]</f>
        <v>0.29181929181929178</v>
      </c>
      <c r="N186" s="9">
        <f>Table1[[#This Row],[exam_score]]/Table1[[#This Row],[hours_studied]]</f>
        <v>15.933333333333332</v>
      </c>
      <c r="O186" s="9">
        <f>(Table1[[#This Row],[previous_scores]]*Table1[[#This Row],[Weight of Previous Scores]])+(Table1[[#This Row],[exam_score]]*Table1[[#This Row],[Weight of Exam Score]])</f>
        <v>48.048962148962147</v>
      </c>
      <c r="P186" s="9" t="str">
        <f>IF(Table1[[#This Row],[Weighted Average]]&gt;=63, "High", IF(Table1[[#This Row],[Weighted Average]]&gt;=48, "Average", "Low"))</f>
        <v>Average</v>
      </c>
    </row>
    <row r="187" spans="1:16" x14ac:dyDescent="0.3">
      <c r="A187" t="s">
        <v>112</v>
      </c>
      <c r="B187">
        <v>2.2000000000000002</v>
      </c>
      <c r="C187">
        <v>5.5</v>
      </c>
      <c r="D187" s="8">
        <v>56.8</v>
      </c>
      <c r="E187" s="14">
        <f>(Table1[[#This Row],[attendance_percent]]/100)</f>
        <v>0.56799999999999995</v>
      </c>
      <c r="F187">
        <v>80</v>
      </c>
      <c r="G187">
        <v>23.7</v>
      </c>
      <c r="H187">
        <f>ROUND(Table1[[#This Row],[exam_score]]/Table1[[#This Row],[hours_studied]], 2)</f>
        <v>10.77</v>
      </c>
      <c r="I187" s="8">
        <f>ROUND(Table1[[#This Row],[sleep_hours]]/Table1[[#This Row],[hours_studied]], 2)</f>
        <v>2.5</v>
      </c>
      <c r="J187" s="8">
        <f>Table1[[#This Row],[previous_scores]]+Table1[[#This Row],[exam_score]]</f>
        <v>103.7</v>
      </c>
      <c r="K187" s="7">
        <f t="shared" si="5"/>
        <v>-0.70374999999999999</v>
      </c>
      <c r="L187" s="9">
        <f>Table1[[#This Row],[previous_scores]]/Table1[[#This Row],[Total Scores]]</f>
        <v>0.77145612343297976</v>
      </c>
      <c r="M187" s="9">
        <f>Table1[[#This Row],[exam_score]]/Table1[[#This Row],[Total Scores]]</f>
        <v>0.22854387656702024</v>
      </c>
      <c r="N187" s="9">
        <f>Table1[[#This Row],[exam_score]]/Table1[[#This Row],[hours_studied]]</f>
        <v>10.772727272727272</v>
      </c>
      <c r="O187" s="9">
        <f>(Table1[[#This Row],[previous_scores]]*Table1[[#This Row],[Weight of Previous Scores]])+(Table1[[#This Row],[exam_score]]*Table1[[#This Row],[Weight of Exam Score]])</f>
        <v>67.132979749276757</v>
      </c>
      <c r="P187" s="9" t="str">
        <f>IF(Table1[[#This Row],[Weighted Average]]&gt;=63, "High", IF(Table1[[#This Row],[Weighted Average]]&gt;=48, "Average", "Low"))</f>
        <v>High</v>
      </c>
    </row>
    <row r="188" spans="1:16" x14ac:dyDescent="0.3">
      <c r="A188" t="s">
        <v>161</v>
      </c>
      <c r="B188">
        <v>3.5</v>
      </c>
      <c r="C188">
        <v>4.9000000000000004</v>
      </c>
      <c r="D188" s="8">
        <v>80</v>
      </c>
      <c r="E188" s="14">
        <f>(Table1[[#This Row],[attendance_percent]]/100)</f>
        <v>0.8</v>
      </c>
      <c r="F188">
        <v>66</v>
      </c>
      <c r="G188">
        <v>23.6</v>
      </c>
      <c r="H188">
        <f>ROUND(Table1[[#This Row],[exam_score]]/Table1[[#This Row],[hours_studied]], 2)</f>
        <v>6.74</v>
      </c>
      <c r="I188" s="8">
        <f>ROUND(Table1[[#This Row],[sleep_hours]]/Table1[[#This Row],[hours_studied]], 2)</f>
        <v>1.4</v>
      </c>
      <c r="J188" s="8">
        <f>Table1[[#This Row],[previous_scores]]+Table1[[#This Row],[exam_score]]</f>
        <v>89.6</v>
      </c>
      <c r="K188" s="7">
        <f t="shared" si="5"/>
        <v>-0.64242424242424245</v>
      </c>
      <c r="L188" s="9">
        <f>Table1[[#This Row],[previous_scores]]/Table1[[#This Row],[Total Scores]]</f>
        <v>0.7366071428571429</v>
      </c>
      <c r="M188" s="9">
        <f>Table1[[#This Row],[exam_score]]/Table1[[#This Row],[Total Scores]]</f>
        <v>0.26339285714285715</v>
      </c>
      <c r="N188" s="9">
        <f>Table1[[#This Row],[exam_score]]/Table1[[#This Row],[hours_studied]]</f>
        <v>6.7428571428571429</v>
      </c>
      <c r="O188" s="9">
        <f>(Table1[[#This Row],[previous_scores]]*Table1[[#This Row],[Weight of Previous Scores]])+(Table1[[#This Row],[exam_score]]*Table1[[#This Row],[Weight of Exam Score]])</f>
        <v>54.832142857142863</v>
      </c>
      <c r="P188" s="9" t="str">
        <f>IF(Table1[[#This Row],[Weighted Average]]&gt;=63, "High", IF(Table1[[#This Row],[Weighted Average]]&gt;=48, "Average", "Low"))</f>
        <v>Average</v>
      </c>
    </row>
    <row r="189" spans="1:16" x14ac:dyDescent="0.3">
      <c r="A189" t="s">
        <v>194</v>
      </c>
      <c r="B189">
        <v>3.1</v>
      </c>
      <c r="C189">
        <v>8.6999999999999993</v>
      </c>
      <c r="D189" s="8">
        <v>68.900000000000006</v>
      </c>
      <c r="E189" s="14">
        <f>(Table1[[#This Row],[attendance_percent]]/100)</f>
        <v>0.68900000000000006</v>
      </c>
      <c r="F189">
        <v>49</v>
      </c>
      <c r="G189">
        <v>23.4</v>
      </c>
      <c r="H189">
        <f>ROUND(Table1[[#This Row],[exam_score]]/Table1[[#This Row],[hours_studied]], 2)</f>
        <v>7.55</v>
      </c>
      <c r="I189" s="8">
        <f>ROUND(Table1[[#This Row],[sleep_hours]]/Table1[[#This Row],[hours_studied]], 2)</f>
        <v>2.81</v>
      </c>
      <c r="J189" s="8">
        <f>Table1[[#This Row],[previous_scores]]+Table1[[#This Row],[exam_score]]</f>
        <v>72.400000000000006</v>
      </c>
      <c r="K189" s="7">
        <f t="shared" si="5"/>
        <v>-0.52244897959183678</v>
      </c>
      <c r="L189" s="9">
        <f>Table1[[#This Row],[previous_scores]]/Table1[[#This Row],[Total Scores]]</f>
        <v>0.67679558011049723</v>
      </c>
      <c r="M189" s="9">
        <f>Table1[[#This Row],[exam_score]]/Table1[[#This Row],[Total Scores]]</f>
        <v>0.32320441988950271</v>
      </c>
      <c r="N189" s="9">
        <f>Table1[[#This Row],[exam_score]]/Table1[[#This Row],[hours_studied]]</f>
        <v>7.5483870967741931</v>
      </c>
      <c r="O189" s="9">
        <f>(Table1[[#This Row],[previous_scores]]*Table1[[#This Row],[Weight of Previous Scores]])+(Table1[[#This Row],[exam_score]]*Table1[[#This Row],[Weight of Exam Score]])</f>
        <v>40.725966850828733</v>
      </c>
      <c r="P189" s="9" t="str">
        <f>IF(Table1[[#This Row],[Weighted Average]]&gt;=63, "High", IF(Table1[[#This Row],[Weighted Average]]&gt;=48, "Average", "Low"))</f>
        <v>Low</v>
      </c>
    </row>
    <row r="190" spans="1:16" x14ac:dyDescent="0.3">
      <c r="A190" t="s">
        <v>114</v>
      </c>
      <c r="B190">
        <v>6</v>
      </c>
      <c r="C190">
        <v>8</v>
      </c>
      <c r="D190" s="8">
        <v>52.5</v>
      </c>
      <c r="E190" s="14">
        <f>(Table1[[#This Row],[attendance_percent]]/100)</f>
        <v>0.52500000000000002</v>
      </c>
      <c r="F190">
        <v>43</v>
      </c>
      <c r="G190">
        <v>23.2</v>
      </c>
      <c r="H190">
        <f>ROUND(Table1[[#This Row],[exam_score]]/Table1[[#This Row],[hours_studied]], 2)</f>
        <v>3.87</v>
      </c>
      <c r="I190" s="8">
        <f>ROUND(Table1[[#This Row],[sleep_hours]]/Table1[[#This Row],[hours_studied]], 2)</f>
        <v>1.33</v>
      </c>
      <c r="J190" s="8">
        <f>Table1[[#This Row],[previous_scores]]+Table1[[#This Row],[exam_score]]</f>
        <v>66.2</v>
      </c>
      <c r="K190" s="7">
        <f t="shared" si="5"/>
        <v>-0.46046511627906977</v>
      </c>
      <c r="L190" s="9">
        <f>Table1[[#This Row],[previous_scores]]/Table1[[#This Row],[Total Scores]]</f>
        <v>0.64954682779456185</v>
      </c>
      <c r="M190" s="9">
        <f>Table1[[#This Row],[exam_score]]/Table1[[#This Row],[Total Scores]]</f>
        <v>0.35045317220543803</v>
      </c>
      <c r="N190" s="9">
        <f>Table1[[#This Row],[exam_score]]/Table1[[#This Row],[hours_studied]]</f>
        <v>3.8666666666666667</v>
      </c>
      <c r="O190" s="9">
        <f>(Table1[[#This Row],[previous_scores]]*Table1[[#This Row],[Weight of Previous Scores]])+(Table1[[#This Row],[exam_score]]*Table1[[#This Row],[Weight of Exam Score]])</f>
        <v>36.061027190332325</v>
      </c>
      <c r="P190" s="9" t="str">
        <f>IF(Table1[[#This Row],[Weighted Average]]&gt;=63, "High", IF(Table1[[#This Row],[Weighted Average]]&gt;=48, "Average", "Low"))</f>
        <v>Low</v>
      </c>
    </row>
    <row r="191" spans="1:16" x14ac:dyDescent="0.3">
      <c r="A191" t="s">
        <v>47</v>
      </c>
      <c r="B191">
        <v>1.5</v>
      </c>
      <c r="C191">
        <v>6.9</v>
      </c>
      <c r="D191" s="8">
        <v>99.4</v>
      </c>
      <c r="E191" s="14">
        <f>(Table1[[#This Row],[attendance_percent]]/100)</f>
        <v>0.99400000000000011</v>
      </c>
      <c r="F191">
        <v>47</v>
      </c>
      <c r="G191">
        <v>23.1</v>
      </c>
      <c r="H191">
        <f>ROUND(Table1[[#This Row],[exam_score]]/Table1[[#This Row],[hours_studied]], 2)</f>
        <v>15.4</v>
      </c>
      <c r="I191" s="8">
        <f>ROUND(Table1[[#This Row],[sleep_hours]]/Table1[[#This Row],[hours_studied]], 2)</f>
        <v>4.5999999999999996</v>
      </c>
      <c r="J191" s="8">
        <f>Table1[[#This Row],[previous_scores]]+Table1[[#This Row],[exam_score]]</f>
        <v>70.099999999999994</v>
      </c>
      <c r="K191" s="7">
        <f t="shared" si="5"/>
        <v>-0.50851063829787235</v>
      </c>
      <c r="L191" s="9">
        <f>Table1[[#This Row],[previous_scores]]/Table1[[#This Row],[Total Scores]]</f>
        <v>0.67047075606276751</v>
      </c>
      <c r="M191" s="9">
        <f>Table1[[#This Row],[exam_score]]/Table1[[#This Row],[Total Scores]]</f>
        <v>0.3295292439372326</v>
      </c>
      <c r="N191" s="9">
        <f>Table1[[#This Row],[exam_score]]/Table1[[#This Row],[hours_studied]]</f>
        <v>15.4</v>
      </c>
      <c r="O191" s="9">
        <f>(Table1[[#This Row],[previous_scores]]*Table1[[#This Row],[Weight of Previous Scores]])+(Table1[[#This Row],[exam_score]]*Table1[[#This Row],[Weight of Exam Score]])</f>
        <v>39.124251069900147</v>
      </c>
      <c r="P191" s="9" t="str">
        <f>IF(Table1[[#This Row],[Weighted Average]]&gt;=63, "High", IF(Table1[[#This Row],[Weighted Average]]&gt;=48, "Average", "Low"))</f>
        <v>Low</v>
      </c>
    </row>
    <row r="192" spans="1:16" x14ac:dyDescent="0.3">
      <c r="A192" t="s">
        <v>191</v>
      </c>
      <c r="B192">
        <v>4.7</v>
      </c>
      <c r="C192">
        <v>5.5</v>
      </c>
      <c r="D192" s="8">
        <v>62.2</v>
      </c>
      <c r="E192" s="14">
        <f>(Table1[[#This Row],[attendance_percent]]/100)</f>
        <v>0.622</v>
      </c>
      <c r="F192">
        <v>49</v>
      </c>
      <c r="G192">
        <v>22.9</v>
      </c>
      <c r="H192">
        <f>ROUND(Table1[[#This Row],[exam_score]]/Table1[[#This Row],[hours_studied]], 2)</f>
        <v>4.87</v>
      </c>
      <c r="I192" s="8">
        <f>ROUND(Table1[[#This Row],[sleep_hours]]/Table1[[#This Row],[hours_studied]], 2)</f>
        <v>1.17</v>
      </c>
      <c r="J192" s="8">
        <f>Table1[[#This Row],[previous_scores]]+Table1[[#This Row],[exam_score]]</f>
        <v>71.900000000000006</v>
      </c>
      <c r="K192" s="7">
        <f t="shared" si="5"/>
        <v>-0.53265306122448985</v>
      </c>
      <c r="L192" s="9">
        <f>Table1[[#This Row],[previous_scores]]/Table1[[#This Row],[Total Scores]]</f>
        <v>0.68150208623087616</v>
      </c>
      <c r="M192" s="9">
        <f>Table1[[#This Row],[exam_score]]/Table1[[#This Row],[Total Scores]]</f>
        <v>0.31849791376912373</v>
      </c>
      <c r="N192" s="9">
        <f>Table1[[#This Row],[exam_score]]/Table1[[#This Row],[hours_studied]]</f>
        <v>4.872340425531914</v>
      </c>
      <c r="O192" s="9">
        <f>(Table1[[#This Row],[previous_scores]]*Table1[[#This Row],[Weight of Previous Scores]])+(Table1[[#This Row],[exam_score]]*Table1[[#This Row],[Weight of Exam Score]])</f>
        <v>40.687204450625863</v>
      </c>
      <c r="P192" s="9" t="str">
        <f>IF(Table1[[#This Row],[Weighted Average]]&gt;=63, "High", IF(Table1[[#This Row],[Weighted Average]]&gt;=48, "Average", "Low"))</f>
        <v>Low</v>
      </c>
    </row>
    <row r="193" spans="1:16" x14ac:dyDescent="0.3">
      <c r="A193" t="s">
        <v>175</v>
      </c>
      <c r="B193">
        <v>2.5</v>
      </c>
      <c r="C193">
        <v>8.6</v>
      </c>
      <c r="D193" s="8">
        <v>91.4</v>
      </c>
      <c r="E193" s="14">
        <f>(Table1[[#This Row],[attendance_percent]]/100)</f>
        <v>0.91400000000000003</v>
      </c>
      <c r="F193">
        <v>44</v>
      </c>
      <c r="G193">
        <v>22.8</v>
      </c>
      <c r="H193">
        <f>ROUND(Table1[[#This Row],[exam_score]]/Table1[[#This Row],[hours_studied]], 2)</f>
        <v>9.1199999999999992</v>
      </c>
      <c r="I193" s="8">
        <f>ROUND(Table1[[#This Row],[sleep_hours]]/Table1[[#This Row],[hours_studied]], 2)</f>
        <v>3.44</v>
      </c>
      <c r="J193" s="8">
        <f>Table1[[#This Row],[previous_scores]]+Table1[[#This Row],[exam_score]]</f>
        <v>66.8</v>
      </c>
      <c r="K193" s="7">
        <f t="shared" si="5"/>
        <v>-0.48181818181818181</v>
      </c>
      <c r="L193" s="9">
        <f>Table1[[#This Row],[previous_scores]]/Table1[[#This Row],[Total Scores]]</f>
        <v>0.6586826347305389</v>
      </c>
      <c r="M193" s="9">
        <f>Table1[[#This Row],[exam_score]]/Table1[[#This Row],[Total Scores]]</f>
        <v>0.3413173652694611</v>
      </c>
      <c r="N193" s="9">
        <f>Table1[[#This Row],[exam_score]]/Table1[[#This Row],[hours_studied]]</f>
        <v>9.120000000000001</v>
      </c>
      <c r="O193" s="9">
        <f>(Table1[[#This Row],[previous_scores]]*Table1[[#This Row],[Weight of Previous Scores]])+(Table1[[#This Row],[exam_score]]*Table1[[#This Row],[Weight of Exam Score]])</f>
        <v>36.76407185628743</v>
      </c>
      <c r="P193" s="9" t="str">
        <f>IF(Table1[[#This Row],[Weighted Average]]&gt;=63, "High", IF(Table1[[#This Row],[Weighted Average]]&gt;=48, "Average", "Low"))</f>
        <v>Low</v>
      </c>
    </row>
    <row r="194" spans="1:16" x14ac:dyDescent="0.3">
      <c r="A194" t="s">
        <v>155</v>
      </c>
      <c r="B194">
        <v>4.4000000000000004</v>
      </c>
      <c r="C194">
        <v>6</v>
      </c>
      <c r="D194" s="8">
        <v>53.8</v>
      </c>
      <c r="E194" s="14">
        <f>(Table1[[#This Row],[attendance_percent]]/100)</f>
        <v>0.53799999999999992</v>
      </c>
      <c r="F194">
        <v>55</v>
      </c>
      <c r="G194">
        <v>21.9</v>
      </c>
      <c r="H194">
        <f>ROUND(Table1[[#This Row],[exam_score]]/Table1[[#This Row],[hours_studied]], 2)</f>
        <v>4.9800000000000004</v>
      </c>
      <c r="I194" s="8">
        <f>ROUND(Table1[[#This Row],[sleep_hours]]/Table1[[#This Row],[hours_studied]], 2)</f>
        <v>1.36</v>
      </c>
      <c r="J194" s="8">
        <f>Table1[[#This Row],[previous_scores]]+Table1[[#This Row],[exam_score]]</f>
        <v>76.900000000000006</v>
      </c>
      <c r="K194" s="7">
        <f t="shared" ref="K194:K201" si="6">(G194-F194)/F194</f>
        <v>-0.60181818181818181</v>
      </c>
      <c r="L194" s="9">
        <f>Table1[[#This Row],[previous_scores]]/Table1[[#This Row],[Total Scores]]</f>
        <v>0.71521456436931075</v>
      </c>
      <c r="M194" s="9">
        <f>Table1[[#This Row],[exam_score]]/Table1[[#This Row],[Total Scores]]</f>
        <v>0.28478543563068914</v>
      </c>
      <c r="N194" s="9">
        <f>Table1[[#This Row],[exam_score]]/Table1[[#This Row],[hours_studied]]</f>
        <v>4.9772727272727266</v>
      </c>
      <c r="O194" s="9">
        <f>(Table1[[#This Row],[previous_scores]]*Table1[[#This Row],[Weight of Previous Scores]])+(Table1[[#This Row],[exam_score]]*Table1[[#This Row],[Weight of Exam Score]])</f>
        <v>45.573602080624184</v>
      </c>
      <c r="P194" s="9" t="str">
        <f>IF(Table1[[#This Row],[Weighted Average]]&gt;=63, "High", IF(Table1[[#This Row],[Weighted Average]]&gt;=48, "Average", "Low"))</f>
        <v>Low</v>
      </c>
    </row>
    <row r="195" spans="1:16" x14ac:dyDescent="0.3">
      <c r="A195" t="s">
        <v>72</v>
      </c>
      <c r="B195">
        <v>3.5</v>
      </c>
      <c r="C195">
        <v>7.1</v>
      </c>
      <c r="D195" s="8">
        <v>61.6</v>
      </c>
      <c r="E195" s="14">
        <f>(Table1[[#This Row],[attendance_percent]]/100)</f>
        <v>0.61599999999999999</v>
      </c>
      <c r="F195">
        <v>54</v>
      </c>
      <c r="G195">
        <v>21.7</v>
      </c>
      <c r="H195">
        <f>ROUND(Table1[[#This Row],[exam_score]]/Table1[[#This Row],[hours_studied]], 2)</f>
        <v>6.2</v>
      </c>
      <c r="I195" s="8">
        <f>ROUND(Table1[[#This Row],[sleep_hours]]/Table1[[#This Row],[hours_studied]], 2)</f>
        <v>2.0299999999999998</v>
      </c>
      <c r="J195" s="8">
        <f>Table1[[#This Row],[previous_scores]]+Table1[[#This Row],[exam_score]]</f>
        <v>75.7</v>
      </c>
      <c r="K195" s="7">
        <f t="shared" si="6"/>
        <v>-0.5981481481481481</v>
      </c>
      <c r="L195" s="9">
        <f>Table1[[#This Row],[previous_scores]]/Table1[[#This Row],[Total Scores]]</f>
        <v>0.71334214002642005</v>
      </c>
      <c r="M195" s="9">
        <f>Table1[[#This Row],[exam_score]]/Table1[[#This Row],[Total Scores]]</f>
        <v>0.2866578599735799</v>
      </c>
      <c r="N195" s="9">
        <f>Table1[[#This Row],[exam_score]]/Table1[[#This Row],[hours_studied]]</f>
        <v>6.2</v>
      </c>
      <c r="O195" s="9">
        <f>(Table1[[#This Row],[previous_scores]]*Table1[[#This Row],[Weight of Previous Scores]])+(Table1[[#This Row],[exam_score]]*Table1[[#This Row],[Weight of Exam Score]])</f>
        <v>44.740951122853367</v>
      </c>
      <c r="P195" s="9" t="str">
        <f>IF(Table1[[#This Row],[Weighted Average]]&gt;=63, "High", IF(Table1[[#This Row],[Weighted Average]]&gt;=48, "Average", "Low"))</f>
        <v>Low</v>
      </c>
    </row>
    <row r="196" spans="1:16" x14ac:dyDescent="0.3">
      <c r="A196" t="s">
        <v>130</v>
      </c>
      <c r="B196">
        <v>1</v>
      </c>
      <c r="C196">
        <v>4.0999999999999996</v>
      </c>
      <c r="D196" s="8">
        <v>82.6</v>
      </c>
      <c r="E196" s="14">
        <f>(Table1[[#This Row],[attendance_percent]]/100)</f>
        <v>0.82599999999999996</v>
      </c>
      <c r="F196">
        <v>54</v>
      </c>
      <c r="G196">
        <v>21.2</v>
      </c>
      <c r="H196">
        <f>ROUND(Table1[[#This Row],[exam_score]]/Table1[[#This Row],[hours_studied]], 2)</f>
        <v>21.2</v>
      </c>
      <c r="I196" s="8">
        <f>ROUND(Table1[[#This Row],[sleep_hours]]/Table1[[#This Row],[hours_studied]], 2)</f>
        <v>4.0999999999999996</v>
      </c>
      <c r="J196" s="8">
        <f>Table1[[#This Row],[previous_scores]]+Table1[[#This Row],[exam_score]]</f>
        <v>75.2</v>
      </c>
      <c r="K196" s="7">
        <f t="shared" si="6"/>
        <v>-0.6074074074074074</v>
      </c>
      <c r="L196" s="9">
        <f>Table1[[#This Row],[previous_scores]]/Table1[[#This Row],[Total Scores]]</f>
        <v>0.71808510638297873</v>
      </c>
      <c r="M196" s="9">
        <f>Table1[[#This Row],[exam_score]]/Table1[[#This Row],[Total Scores]]</f>
        <v>0.28191489361702127</v>
      </c>
      <c r="N196" s="9">
        <f>Table1[[#This Row],[exam_score]]/Table1[[#This Row],[hours_studied]]</f>
        <v>21.2</v>
      </c>
      <c r="O196" s="9">
        <f>(Table1[[#This Row],[previous_scores]]*Table1[[#This Row],[Weight of Previous Scores]])+(Table1[[#This Row],[exam_score]]*Table1[[#This Row],[Weight of Exam Score]])</f>
        <v>44.753191489361704</v>
      </c>
      <c r="P196" s="9" t="str">
        <f>IF(Table1[[#This Row],[Weighted Average]]&gt;=63, "High", IF(Table1[[#This Row],[Weighted Average]]&gt;=48, "Average", "Low"))</f>
        <v>Low</v>
      </c>
    </row>
    <row r="197" spans="1:16" x14ac:dyDescent="0.3">
      <c r="A197" t="s">
        <v>76</v>
      </c>
      <c r="B197">
        <v>3.3</v>
      </c>
      <c r="C197">
        <v>8.1</v>
      </c>
      <c r="D197" s="8">
        <v>70.400000000000006</v>
      </c>
      <c r="E197" s="14">
        <f>(Table1[[#This Row],[attendance_percent]]/100)</f>
        <v>0.70400000000000007</v>
      </c>
      <c r="F197">
        <v>40</v>
      </c>
      <c r="G197">
        <v>20.8</v>
      </c>
      <c r="H197">
        <f>ROUND(Table1[[#This Row],[exam_score]]/Table1[[#This Row],[hours_studied]], 2)</f>
        <v>6.3</v>
      </c>
      <c r="I197" s="8">
        <f>ROUND(Table1[[#This Row],[sleep_hours]]/Table1[[#This Row],[hours_studied]], 2)</f>
        <v>2.4500000000000002</v>
      </c>
      <c r="J197" s="8">
        <f>Table1[[#This Row],[previous_scores]]+Table1[[#This Row],[exam_score]]</f>
        <v>60.8</v>
      </c>
      <c r="K197" s="7">
        <f t="shared" si="6"/>
        <v>-0.48</v>
      </c>
      <c r="L197" s="9">
        <f>Table1[[#This Row],[previous_scores]]/Table1[[#This Row],[Total Scores]]</f>
        <v>0.65789473684210531</v>
      </c>
      <c r="M197" s="9">
        <f>Table1[[#This Row],[exam_score]]/Table1[[#This Row],[Total Scores]]</f>
        <v>0.34210526315789475</v>
      </c>
      <c r="N197" s="9">
        <f>Table1[[#This Row],[exam_score]]/Table1[[#This Row],[hours_studied]]</f>
        <v>6.3030303030303036</v>
      </c>
      <c r="O197" s="9">
        <f>(Table1[[#This Row],[previous_scores]]*Table1[[#This Row],[Weight of Previous Scores]])+(Table1[[#This Row],[exam_score]]*Table1[[#This Row],[Weight of Exam Score]])</f>
        <v>33.431578947368422</v>
      </c>
      <c r="P197" s="9" t="str">
        <f>IF(Table1[[#This Row],[Weighted Average]]&gt;=63, "High", IF(Table1[[#This Row],[Weighted Average]]&gt;=48, "Average", "Low"))</f>
        <v>Low</v>
      </c>
    </row>
    <row r="198" spans="1:16" x14ac:dyDescent="0.3">
      <c r="A198" t="s">
        <v>189</v>
      </c>
      <c r="B198">
        <v>2.1</v>
      </c>
      <c r="C198">
        <v>6</v>
      </c>
      <c r="D198" s="8">
        <v>54.3</v>
      </c>
      <c r="E198" s="14">
        <f>(Table1[[#This Row],[attendance_percent]]/100)</f>
        <v>0.54299999999999993</v>
      </c>
      <c r="F198">
        <v>54</v>
      </c>
      <c r="G198">
        <v>19.399999999999999</v>
      </c>
      <c r="H198">
        <f>ROUND(Table1[[#This Row],[exam_score]]/Table1[[#This Row],[hours_studied]], 2)</f>
        <v>9.24</v>
      </c>
      <c r="I198" s="8">
        <f>ROUND(Table1[[#This Row],[sleep_hours]]/Table1[[#This Row],[hours_studied]], 2)</f>
        <v>2.86</v>
      </c>
      <c r="J198" s="8">
        <f>Table1[[#This Row],[previous_scores]]+Table1[[#This Row],[exam_score]]</f>
        <v>73.400000000000006</v>
      </c>
      <c r="K198" s="7">
        <f t="shared" si="6"/>
        <v>-0.64074074074074072</v>
      </c>
      <c r="L198" s="9">
        <f>Table1[[#This Row],[previous_scores]]/Table1[[#This Row],[Total Scores]]</f>
        <v>0.73569482288828336</v>
      </c>
      <c r="M198" s="9">
        <f>Table1[[#This Row],[exam_score]]/Table1[[#This Row],[Total Scores]]</f>
        <v>0.26430517711171658</v>
      </c>
      <c r="N198" s="9">
        <f>Table1[[#This Row],[exam_score]]/Table1[[#This Row],[hours_studied]]</f>
        <v>9.2380952380952372</v>
      </c>
      <c r="O198" s="9">
        <f>(Table1[[#This Row],[previous_scores]]*Table1[[#This Row],[Weight of Previous Scores]])+(Table1[[#This Row],[exam_score]]*Table1[[#This Row],[Weight of Exam Score]])</f>
        <v>44.855040871934598</v>
      </c>
      <c r="P198" s="9" t="str">
        <f>IF(Table1[[#This Row],[Weighted Average]]&gt;=63, "High", IF(Table1[[#This Row],[Weighted Average]]&gt;=48, "Average", "Low"))</f>
        <v>Low</v>
      </c>
    </row>
    <row r="199" spans="1:16" x14ac:dyDescent="0.3">
      <c r="A199" t="s">
        <v>148</v>
      </c>
      <c r="B199">
        <v>3.9</v>
      </c>
      <c r="C199">
        <v>4.0999999999999996</v>
      </c>
      <c r="D199" s="8">
        <v>55.4</v>
      </c>
      <c r="E199" s="14">
        <f>(Table1[[#This Row],[attendance_percent]]/100)</f>
        <v>0.55399999999999994</v>
      </c>
      <c r="F199">
        <v>53</v>
      </c>
      <c r="G199">
        <v>19</v>
      </c>
      <c r="H199">
        <f>ROUND(Table1[[#This Row],[exam_score]]/Table1[[#This Row],[hours_studied]], 2)</f>
        <v>4.87</v>
      </c>
      <c r="I199" s="8">
        <f>ROUND(Table1[[#This Row],[sleep_hours]]/Table1[[#This Row],[hours_studied]], 2)</f>
        <v>1.05</v>
      </c>
      <c r="J199" s="8">
        <f>Table1[[#This Row],[previous_scores]]+Table1[[#This Row],[exam_score]]</f>
        <v>72</v>
      </c>
      <c r="K199" s="7">
        <f t="shared" si="6"/>
        <v>-0.64150943396226412</v>
      </c>
      <c r="L199" s="9">
        <f>Table1[[#This Row],[previous_scores]]/Table1[[#This Row],[Total Scores]]</f>
        <v>0.73611111111111116</v>
      </c>
      <c r="M199" s="9">
        <f>Table1[[#This Row],[exam_score]]/Table1[[#This Row],[Total Scores]]</f>
        <v>0.2638888888888889</v>
      </c>
      <c r="N199" s="9">
        <f>Table1[[#This Row],[exam_score]]/Table1[[#This Row],[hours_studied]]</f>
        <v>4.8717948717948723</v>
      </c>
      <c r="O199" s="9">
        <f>(Table1[[#This Row],[previous_scores]]*Table1[[#This Row],[Weight of Previous Scores]])+(Table1[[#This Row],[exam_score]]*Table1[[#This Row],[Weight of Exam Score]])</f>
        <v>44.027777777777786</v>
      </c>
      <c r="P199" s="9" t="str">
        <f>IF(Table1[[#This Row],[Weighted Average]]&gt;=63, "High", IF(Table1[[#This Row],[Weighted Average]]&gt;=48, "Average", "Low"))</f>
        <v>Low</v>
      </c>
    </row>
    <row r="200" spans="1:16" x14ac:dyDescent="0.3">
      <c r="A200" t="s">
        <v>13</v>
      </c>
      <c r="B200">
        <v>2</v>
      </c>
      <c r="C200">
        <v>4.3</v>
      </c>
      <c r="D200" s="8">
        <v>75.8</v>
      </c>
      <c r="E200" s="14">
        <f>(Table1[[#This Row],[attendance_percent]]/100)</f>
        <v>0.75800000000000001</v>
      </c>
      <c r="F200">
        <v>55</v>
      </c>
      <c r="G200">
        <v>18.3</v>
      </c>
      <c r="H200">
        <f>ROUND(Table1[[#This Row],[exam_score]]/Table1[[#This Row],[hours_studied]], 2)</f>
        <v>9.15</v>
      </c>
      <c r="I200" s="8">
        <f>ROUND(Table1[[#This Row],[sleep_hours]]/Table1[[#This Row],[hours_studied]], 2)</f>
        <v>2.15</v>
      </c>
      <c r="J200" s="8">
        <f>Table1[[#This Row],[previous_scores]]+Table1[[#This Row],[exam_score]]</f>
        <v>73.3</v>
      </c>
      <c r="K200" s="7">
        <f t="shared" si="6"/>
        <v>-0.66727272727272735</v>
      </c>
      <c r="L200" s="9">
        <f>Table1[[#This Row],[previous_scores]]/Table1[[#This Row],[Total Scores]]</f>
        <v>0.75034106412005463</v>
      </c>
      <c r="M200" s="9">
        <f>Table1[[#This Row],[exam_score]]/Table1[[#This Row],[Total Scores]]</f>
        <v>0.24965893587994545</v>
      </c>
      <c r="N200" s="9">
        <f>Table1[[#This Row],[exam_score]]/Table1[[#This Row],[hours_studied]]</f>
        <v>9.15</v>
      </c>
      <c r="O200" s="9">
        <f>(Table1[[#This Row],[previous_scores]]*Table1[[#This Row],[Weight of Previous Scores]])+(Table1[[#This Row],[exam_score]]*Table1[[#This Row],[Weight of Exam Score]])</f>
        <v>45.837517053206014</v>
      </c>
      <c r="P200" s="9" t="str">
        <f>IF(Table1[[#This Row],[Weighted Average]]&gt;=63, "High", IF(Table1[[#This Row],[Weighted Average]]&gt;=48, "Average", "Low"))</f>
        <v>Low</v>
      </c>
    </row>
    <row r="201" spans="1:16" x14ac:dyDescent="0.3">
      <c r="A201" t="s">
        <v>25</v>
      </c>
      <c r="B201">
        <v>1.1000000000000001</v>
      </c>
      <c r="C201">
        <v>5.5</v>
      </c>
      <c r="D201" s="8">
        <v>53.6</v>
      </c>
      <c r="E201" s="14">
        <f>(Table1[[#This Row],[attendance_percent]]/100)</f>
        <v>0.53600000000000003</v>
      </c>
      <c r="F201">
        <v>65</v>
      </c>
      <c r="G201">
        <v>17.100000000000001</v>
      </c>
      <c r="H201">
        <f>ROUND(Table1[[#This Row],[exam_score]]/Table1[[#This Row],[hours_studied]], 2)</f>
        <v>15.55</v>
      </c>
      <c r="I201" s="8">
        <f>ROUND(Table1[[#This Row],[sleep_hours]]/Table1[[#This Row],[hours_studied]], 2)</f>
        <v>5</v>
      </c>
      <c r="J201" s="8">
        <f>Table1[[#This Row],[previous_scores]]+Table1[[#This Row],[exam_score]]</f>
        <v>82.1</v>
      </c>
      <c r="K201" s="7">
        <f t="shared" si="6"/>
        <v>-0.7369230769230769</v>
      </c>
      <c r="L201" s="9">
        <f>Table1[[#This Row],[previous_scores]]/Table1[[#This Row],[Total Scores]]</f>
        <v>0.79171741778319127</v>
      </c>
      <c r="M201" s="9">
        <f>Table1[[#This Row],[exam_score]]/Table1[[#This Row],[Total Scores]]</f>
        <v>0.20828258221680881</v>
      </c>
      <c r="N201" s="9">
        <f>Table1[[#This Row],[exam_score]]/Table1[[#This Row],[hours_studied]]</f>
        <v>15.545454545454545</v>
      </c>
      <c r="O201" s="9">
        <f>(Table1[[#This Row],[previous_scores]]*Table1[[#This Row],[Weight of Previous Scores]])+(Table1[[#This Row],[exam_score]]*Table1[[#This Row],[Weight of Exam Score]])</f>
        <v>55.023264311814863</v>
      </c>
      <c r="P201" s="9" t="str">
        <f>IF(Table1[[#This Row],[Weighted Average]]&gt;=63, "High", IF(Table1[[#This Row],[Weighted Average]]&gt;=48, "Average", "Low"))</f>
        <v>Average</v>
      </c>
    </row>
  </sheetData>
  <phoneticPr fontId="18" type="noConversion"/>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
  <sheetViews>
    <sheetView workbookViewId="0">
      <selection activeCell="E6" sqref="E6"/>
    </sheetView>
  </sheetViews>
  <sheetFormatPr defaultRowHeight="14.4" x14ac:dyDescent="0.3"/>
  <cols>
    <col min="1" max="1" width="10.5546875" bestFit="1" customWidth="1"/>
    <col min="2" max="2" width="13.88671875" bestFit="1" customWidth="1"/>
    <col min="3" max="3" width="11.88671875" bestFit="1" customWidth="1"/>
    <col min="4" max="4" width="19.109375" bestFit="1" customWidth="1"/>
    <col min="5" max="5" width="13.44140625" bestFit="1" customWidth="1"/>
    <col min="6" max="6" width="15.44140625" bestFit="1" customWidth="1"/>
    <col min="7" max="7" width="11.5546875" bestFit="1" customWidth="1"/>
    <col min="8" max="8" width="15.88671875" bestFit="1" customWidth="1"/>
    <col min="9" max="9" width="19.109375" bestFit="1" customWidth="1"/>
    <col min="10" max="10" width="11.5546875" bestFit="1" customWidth="1"/>
    <col min="11" max="11" width="17.88671875" bestFit="1" customWidth="1"/>
    <col min="12" max="12" width="24.5546875" bestFit="1" customWidth="1"/>
    <col min="13" max="13" width="20.5546875" bestFit="1" customWidth="1"/>
    <col min="14" max="14" width="23.6640625" bestFit="1" customWidth="1"/>
    <col min="15" max="15" width="17.88671875" bestFit="1" customWidth="1"/>
    <col min="16" max="16" width="29.109375" bestFit="1" customWidth="1"/>
  </cols>
  <sheetData>
    <row r="1" spans="1:16" x14ac:dyDescent="0.3">
      <c r="A1" s="1" t="s">
        <v>0</v>
      </c>
      <c r="B1" s="2" t="s">
        <v>1</v>
      </c>
      <c r="C1" s="2" t="s">
        <v>2</v>
      </c>
      <c r="D1" s="16" t="s">
        <v>3</v>
      </c>
      <c r="E1" s="17" t="s">
        <v>228</v>
      </c>
      <c r="F1" s="2" t="s">
        <v>4</v>
      </c>
      <c r="G1" s="2" t="s">
        <v>5</v>
      </c>
      <c r="H1" s="2" t="s">
        <v>206</v>
      </c>
      <c r="I1" s="16" t="s">
        <v>207</v>
      </c>
      <c r="J1" s="16" t="s">
        <v>209</v>
      </c>
      <c r="K1" s="18" t="s">
        <v>208</v>
      </c>
      <c r="L1" s="2" t="s">
        <v>210</v>
      </c>
      <c r="M1" s="19" t="s">
        <v>211</v>
      </c>
      <c r="N1" s="19" t="s">
        <v>216</v>
      </c>
      <c r="O1" s="19" t="s">
        <v>212</v>
      </c>
      <c r="P1" s="20" t="s">
        <v>213</v>
      </c>
    </row>
    <row r="2" spans="1:16" x14ac:dyDescent="0.3">
      <c r="A2" s="3" t="s">
        <v>92</v>
      </c>
      <c r="B2" s="4">
        <v>12</v>
      </c>
      <c r="C2" s="4">
        <v>8.1999999999999993</v>
      </c>
      <c r="D2" s="21">
        <v>71</v>
      </c>
      <c r="E2" s="22">
        <f>(Table1[[#This Row],[attendance_percent]]/100)</f>
        <v>0.71</v>
      </c>
      <c r="F2" s="4">
        <v>95</v>
      </c>
      <c r="G2" s="4">
        <v>51.3</v>
      </c>
      <c r="H2" s="4">
        <f>ROUND(Table1[[#This Row],[exam_score]]/Table1[[#This Row],[hours_studied]], 2)</f>
        <v>4.28</v>
      </c>
      <c r="I2" s="21">
        <f>ROUND(Table1[[#This Row],[sleep_hours]]/Table1[[#This Row],[hours_studied]], 2)</f>
        <v>0.68</v>
      </c>
      <c r="J2" s="21">
        <f>Table1[[#This Row],[previous_scores]]+Table1[[#This Row],[exam_score]]</f>
        <v>146.30000000000001</v>
      </c>
      <c r="K2" s="23">
        <f t="shared" ref="K2:K7" si="0">(G2-F2)/F2</f>
        <v>-0.46</v>
      </c>
      <c r="L2" s="24">
        <f>Table1[[#This Row],[previous_scores]]/Table1[[#This Row],[Total Scores]]</f>
        <v>0.64935064935064934</v>
      </c>
      <c r="M2" s="24">
        <f>Table1[[#This Row],[exam_score]]/Table1[[#This Row],[Total Scores]]</f>
        <v>0.3506493506493506</v>
      </c>
      <c r="N2" s="24">
        <f>Table1[[#This Row],[exam_score]]/Table1[[#This Row],[hours_studied]]</f>
        <v>4.2749999999999995</v>
      </c>
      <c r="O2" s="24">
        <f>(Table1[[#This Row],[previous_scores]]*Table1[[#This Row],[Weight of Previous Scores]])+(Table1[[#This Row],[exam_score]]*Table1[[#This Row],[Weight of Exam Score]])</f>
        <v>79.676623376623368</v>
      </c>
      <c r="P2" s="25" t="str">
        <f>IF(Table1[[#This Row],[Weighted Average]]&gt;=63, "High", IF(Table1[[#This Row],[Weighted Average]]&gt;=48, "Average", "Low"))</f>
        <v>High</v>
      </c>
    </row>
    <row r="3" spans="1:16" x14ac:dyDescent="0.3">
      <c r="A3" s="5" t="s">
        <v>89</v>
      </c>
      <c r="B3" s="6">
        <v>10.9</v>
      </c>
      <c r="C3" s="6">
        <v>5.3</v>
      </c>
      <c r="D3" s="26">
        <v>87.7</v>
      </c>
      <c r="E3" s="27">
        <f>(Table1[[#This Row],[attendance_percent]]/100)</f>
        <v>0.877</v>
      </c>
      <c r="F3" s="6">
        <v>88</v>
      </c>
      <c r="G3" s="6">
        <v>48.9</v>
      </c>
      <c r="H3" s="6">
        <f>ROUND(Table1[[#This Row],[exam_score]]/Table1[[#This Row],[hours_studied]], 2)</f>
        <v>4.49</v>
      </c>
      <c r="I3" s="26">
        <f>ROUND(Table1[[#This Row],[sleep_hours]]/Table1[[#This Row],[hours_studied]], 2)</f>
        <v>0.49</v>
      </c>
      <c r="J3" s="26">
        <f>Table1[[#This Row],[previous_scores]]+Table1[[#This Row],[exam_score]]</f>
        <v>136.9</v>
      </c>
      <c r="K3" s="28">
        <f t="shared" si="0"/>
        <v>-0.44431818181818183</v>
      </c>
      <c r="L3" s="29">
        <f>Table1[[#This Row],[previous_scores]]/Table1[[#This Row],[Total Scores]]</f>
        <v>0.64280496712929147</v>
      </c>
      <c r="M3" s="29">
        <f>Table1[[#This Row],[exam_score]]/Table1[[#This Row],[Total Scores]]</f>
        <v>0.35719503287070853</v>
      </c>
      <c r="N3" s="29">
        <f>Table1[[#This Row],[exam_score]]/Table1[[#This Row],[hours_studied]]</f>
        <v>4.4862385321100913</v>
      </c>
      <c r="O3" s="29">
        <f>(Table1[[#This Row],[previous_scores]]*Table1[[#This Row],[Weight of Previous Scores]])+(Table1[[#This Row],[exam_score]]*Table1[[#This Row],[Weight of Exam Score]])</f>
        <v>74.033674214755294</v>
      </c>
      <c r="P3" s="30" t="str">
        <f>IF(Table1[[#This Row],[Weighted Average]]&gt;=63, "High", IF(Table1[[#This Row],[Weighted Average]]&gt;=48, "Average", "Low"))</f>
        <v>High</v>
      </c>
    </row>
    <row r="4" spans="1:16" x14ac:dyDescent="0.3">
      <c r="A4" s="3" t="s">
        <v>66</v>
      </c>
      <c r="B4" s="4">
        <v>11.9</v>
      </c>
      <c r="C4" s="4">
        <v>8.4</v>
      </c>
      <c r="D4" s="21">
        <v>53.9</v>
      </c>
      <c r="E4" s="22">
        <f>(Table1[[#This Row],[attendance_percent]]/100)</f>
        <v>0.53900000000000003</v>
      </c>
      <c r="F4" s="4">
        <v>78</v>
      </c>
      <c r="G4" s="4">
        <v>48.6</v>
      </c>
      <c r="H4" s="4">
        <f>ROUND(Table1[[#This Row],[exam_score]]/Table1[[#This Row],[hours_studied]], 2)</f>
        <v>4.08</v>
      </c>
      <c r="I4" s="21">
        <f>ROUND(Table1[[#This Row],[sleep_hours]]/Table1[[#This Row],[hours_studied]], 2)</f>
        <v>0.71</v>
      </c>
      <c r="J4" s="21">
        <f>Table1[[#This Row],[previous_scores]]+Table1[[#This Row],[exam_score]]</f>
        <v>126.6</v>
      </c>
      <c r="K4" s="23">
        <f t="shared" si="0"/>
        <v>-0.37692307692307692</v>
      </c>
      <c r="L4" s="24">
        <f>Table1[[#This Row],[previous_scores]]/Table1[[#This Row],[Total Scores]]</f>
        <v>0.61611374407582942</v>
      </c>
      <c r="M4" s="24">
        <f>Table1[[#This Row],[exam_score]]/Table1[[#This Row],[Total Scores]]</f>
        <v>0.38388625592417064</v>
      </c>
      <c r="N4" s="24">
        <f>Table1[[#This Row],[exam_score]]/Table1[[#This Row],[hours_studied]]</f>
        <v>4.0840336134453779</v>
      </c>
      <c r="O4" s="24">
        <f>(Table1[[#This Row],[previous_scores]]*Table1[[#This Row],[Weight of Previous Scores]])+(Table1[[#This Row],[exam_score]]*Table1[[#This Row],[Weight of Exam Score]])</f>
        <v>66.713744075829396</v>
      </c>
      <c r="P4" s="25" t="str">
        <f>IF(Table1[[#This Row],[Weighted Average]]&gt;=63, "High", IF(Table1[[#This Row],[Weighted Average]]&gt;=48, "Average", "Low"))</f>
        <v>High</v>
      </c>
    </row>
    <row r="5" spans="1:16" x14ac:dyDescent="0.3">
      <c r="A5" s="5" t="s">
        <v>77</v>
      </c>
      <c r="B5" s="6">
        <v>11.4</v>
      </c>
      <c r="C5" s="6">
        <v>5.5</v>
      </c>
      <c r="D5" s="26">
        <v>77.099999999999994</v>
      </c>
      <c r="E5" s="27">
        <f>(Table1[[#This Row],[attendance_percent]]/100)</f>
        <v>0.77099999999999991</v>
      </c>
      <c r="F5" s="6">
        <v>85</v>
      </c>
      <c r="G5" s="6">
        <v>47.9</v>
      </c>
      <c r="H5" s="6">
        <f>ROUND(Table1[[#This Row],[exam_score]]/Table1[[#This Row],[hours_studied]], 2)</f>
        <v>4.2</v>
      </c>
      <c r="I5" s="26">
        <f>ROUND(Table1[[#This Row],[sleep_hours]]/Table1[[#This Row],[hours_studied]], 2)</f>
        <v>0.48</v>
      </c>
      <c r="J5" s="26">
        <f>Table1[[#This Row],[previous_scores]]+Table1[[#This Row],[exam_score]]</f>
        <v>132.9</v>
      </c>
      <c r="K5" s="28">
        <f t="shared" si="0"/>
        <v>-0.43647058823529411</v>
      </c>
      <c r="L5" s="29">
        <f>Table1[[#This Row],[previous_scores]]/Table1[[#This Row],[Total Scores]]</f>
        <v>0.6395786305492851</v>
      </c>
      <c r="M5" s="29">
        <f>Table1[[#This Row],[exam_score]]/Table1[[#This Row],[Total Scores]]</f>
        <v>0.36042136945071479</v>
      </c>
      <c r="N5" s="29">
        <f>Table1[[#This Row],[exam_score]]/Table1[[#This Row],[hours_studied]]</f>
        <v>4.2017543859649118</v>
      </c>
      <c r="O5" s="29">
        <f>(Table1[[#This Row],[previous_scores]]*Table1[[#This Row],[Weight of Previous Scores]])+(Table1[[#This Row],[exam_score]]*Table1[[#This Row],[Weight of Exam Score]])</f>
        <v>71.628367193378466</v>
      </c>
      <c r="P5" s="30" t="str">
        <f>IF(Table1[[#This Row],[Weighted Average]]&gt;=63, "High", IF(Table1[[#This Row],[Weighted Average]]&gt;=48, "Average", "Low"))</f>
        <v>High</v>
      </c>
    </row>
    <row r="6" spans="1:16" x14ac:dyDescent="0.3">
      <c r="A6" s="3" t="s">
        <v>126</v>
      </c>
      <c r="B6" s="4">
        <v>9.4</v>
      </c>
      <c r="C6" s="4">
        <v>8.3000000000000007</v>
      </c>
      <c r="D6" s="21">
        <v>100</v>
      </c>
      <c r="E6" s="22">
        <f>(Table1[[#This Row],[attendance_percent]]/100)</f>
        <v>1</v>
      </c>
      <c r="F6" s="4">
        <v>78</v>
      </c>
      <c r="G6" s="4">
        <v>47.9</v>
      </c>
      <c r="H6" s="4">
        <f>ROUND(Table1[[#This Row],[exam_score]]/Table1[[#This Row],[hours_studied]], 2)</f>
        <v>5.0999999999999996</v>
      </c>
      <c r="I6" s="21">
        <f>ROUND(Table1[[#This Row],[sleep_hours]]/Table1[[#This Row],[hours_studied]], 2)</f>
        <v>0.88</v>
      </c>
      <c r="J6" s="21">
        <f>Table1[[#This Row],[previous_scores]]+Table1[[#This Row],[exam_score]]</f>
        <v>125.9</v>
      </c>
      <c r="K6" s="23">
        <f t="shared" si="0"/>
        <v>-0.38589743589743591</v>
      </c>
      <c r="L6" s="24">
        <f>Table1[[#This Row],[previous_scores]]/Table1[[#This Row],[Total Scores]]</f>
        <v>0.61953931691818898</v>
      </c>
      <c r="M6" s="24">
        <f>Table1[[#This Row],[exam_score]]/Table1[[#This Row],[Total Scores]]</f>
        <v>0.38046068308181091</v>
      </c>
      <c r="N6" s="24">
        <f>Table1[[#This Row],[exam_score]]/Table1[[#This Row],[hours_studied]]</f>
        <v>5.0957446808510634</v>
      </c>
      <c r="O6" s="24">
        <f>(Table1[[#This Row],[previous_scores]]*Table1[[#This Row],[Weight of Previous Scores]])+(Table1[[#This Row],[exam_score]]*Table1[[#This Row],[Weight of Exam Score]])</f>
        <v>66.548133439237489</v>
      </c>
      <c r="P6" s="25" t="str">
        <f>IF(Table1[[#This Row],[Weighted Average]]&gt;=63, "High", IF(Table1[[#This Row],[Weighted Average]]&gt;=48, "Average", "Low"))</f>
        <v>High</v>
      </c>
    </row>
    <row r="7" spans="1:16" x14ac:dyDescent="0.3">
      <c r="A7" s="5" t="s">
        <v>199</v>
      </c>
      <c r="B7" s="6">
        <v>11.2</v>
      </c>
      <c r="C7" s="6">
        <v>6.7</v>
      </c>
      <c r="D7" s="26">
        <v>89.9</v>
      </c>
      <c r="E7" s="27">
        <f>(Table1[[#This Row],[attendance_percent]]/100)</f>
        <v>0.89900000000000002</v>
      </c>
      <c r="F7" s="6">
        <v>59</v>
      </c>
      <c r="G7" s="6">
        <v>46.7</v>
      </c>
      <c r="H7" s="6">
        <f>ROUND(Table1[[#This Row],[exam_score]]/Table1[[#This Row],[hours_studied]], 2)</f>
        <v>4.17</v>
      </c>
      <c r="I7" s="26">
        <f>ROUND(Table1[[#This Row],[sleep_hours]]/Table1[[#This Row],[hours_studied]], 2)</f>
        <v>0.6</v>
      </c>
      <c r="J7" s="26">
        <f>Table1[[#This Row],[previous_scores]]+Table1[[#This Row],[exam_score]]</f>
        <v>105.7</v>
      </c>
      <c r="K7" s="28">
        <f t="shared" si="0"/>
        <v>-0.2084745762711864</v>
      </c>
      <c r="L7" s="29">
        <f>Table1[[#This Row],[previous_scores]]/Table1[[#This Row],[Total Scores]]</f>
        <v>0.55818353831598866</v>
      </c>
      <c r="M7" s="29">
        <f>Table1[[#This Row],[exam_score]]/Table1[[#This Row],[Total Scores]]</f>
        <v>0.44181646168401134</v>
      </c>
      <c r="N7" s="29">
        <f>Table1[[#This Row],[exam_score]]/Table1[[#This Row],[hours_studied]]</f>
        <v>4.1696428571428577</v>
      </c>
      <c r="O7" s="29">
        <f>(Table1[[#This Row],[previous_scores]]*Table1[[#This Row],[Weight of Previous Scores]])+(Table1[[#This Row],[exam_score]]*Table1[[#This Row],[Weight of Exam Score]])</f>
        <v>53.565657521286667</v>
      </c>
      <c r="P7" s="30" t="str">
        <f>IF(Table1[[#This Row],[Weighted Average]]&gt;=63, "High", IF(Table1[[#This Row],[Weighted Average]]&gt;=48, "Average", "Low"))</f>
        <v>Average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Post-analysis Observations</vt:lpstr>
      <vt:lpstr>Post-analysis Recommendations</vt:lpstr>
      <vt:lpstr>In-analysis Board</vt:lpstr>
      <vt:lpstr>Top 5 Performing Students</vt:lpstr>
      <vt:lpstr>Attendance &amp; Study Efficiency</vt:lpstr>
      <vt:lpstr>Sleep-Study Balance &amp; Study Eff</vt:lpstr>
      <vt:lpstr>Students with Highest Study Eff</vt:lpstr>
      <vt:lpstr>Efficiency Weight Distribution</vt:lpstr>
      <vt:lpstr>Exam Score &amp; Other Factors</vt:lpstr>
      <vt:lpstr>Exam Score &amp; Other Factors (2)</vt:lpstr>
      <vt:lpstr>Pre-analysis Board</vt:lpstr>
      <vt:lpstr>Dataset</vt:lpstr>
      <vt:lpstr>Mock Up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Uju Onyejegbu</dc:creator>
  <cp:lastModifiedBy>Uchenna Nwosu</cp:lastModifiedBy>
  <dcterms:created xsi:type="dcterms:W3CDTF">2025-09-15T03:38:48Z</dcterms:created>
  <dcterms:modified xsi:type="dcterms:W3CDTF">2025-11-27T19:33:08Z</dcterms:modified>
</cp:coreProperties>
</file>